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 Manggis" sheetId="1" state="visible" r:id="rId1"/>
  </sheets>
  <definedNames>
    <definedName name="_xlnm.Print_Titles" localSheetId="0">'Buyer Manggis'!$10:$10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color rgb="00595959"/>
      <sz val="9"/>
    </font>
    <font>
      <name val="Arial"/>
      <b val="1"/>
      <color rgb="001F3864"/>
      <sz val="18"/>
    </font>
    <font>
      <name val="Arial"/>
      <b val="1"/>
      <color rgb="001F3864"/>
      <sz val="9"/>
    </font>
    <font>
      <name val="Arial"/>
      <sz val="9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AF1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top style="medium">
        <color rgb="002F5597"/>
      </top>
    </border>
    <border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Arial"/>
        <b val="1"/>
      </font>
      <fill>
        <patternFill patternType="solid">
          <fgColor rgb="00C6EFCE"/>
        </patternFill>
      </fill>
    </dxf>
    <dxf>
      <font>
        <name val="Arial"/>
        <b val="1"/>
      </font>
      <fill>
        <patternFill patternType="solid">
          <fgColor rgb="00FFEB9C"/>
        </patternFill>
      </fill>
    </dxf>
    <dxf>
      <font>
        <name val="Arial"/>
        <b val="1"/>
      </font>
      <fill>
        <patternFill patternType="solid">
          <fgColor rgb="00EDEDE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Catatan</author>
  </authors>
  <commentList>
    <comment ref="M39" authorId="0" shapeId="0">
      <text>
        <t>Tinggi (alamat), Sedang (email)</t>
      </text>
    </comment>
    <comment ref="M48" authorId="0" shapeId="0">
      <text>
        <t>Tinggi (telp/alamat), Sedang (email)</t>
      </text>
    </comment>
    <comment ref="M54" authorId="0" shapeId="0">
      <text>
        <t>Tinggi (email), Sedang (telp/alamat)</t>
      </text>
    </comment>
  </commentList>
</comments>
</file>

<file path=xl/tables/table1.xml><?xml version="1.0" encoding="utf-8"?>
<table xmlns="http://schemas.openxmlformats.org/spreadsheetml/2006/main" id="1" name="tblBuyerManggis" displayName="tblBuyerManggis" ref="A10:P55" headerRowCount="1">
  <autoFilter ref="A10:P55"/>
  <tableColumns count="16">
    <tableColumn id="1" name="No"/>
    <tableColumn id="2" name="Perusahaan"/>
    <tableColumn id="3" name="Negara"/>
    <tableColumn id="4" name="Kota"/>
    <tableColumn id="5" name="Tipe"/>
    <tableColumn id="6" name="Prioritas"/>
    <tableColumn id="7" name="Produk / Fokus"/>
    <tableColumn id="8" name="PIC"/>
    <tableColumn id="9" name="Email"/>
    <tableColumn id="10" name="Telepon"/>
    <tableColumn id="11" name="Alamat"/>
    <tableColumn id="12" name="Link Kontak"/>
    <tableColumn id="13" name="Keyakinan"/>
    <tableColumn id="14" name="Status"/>
    <tableColumn id="15" name="Follow-up"/>
    <tableColumn id="16" name="Catatan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nbd.ltd/news/d/668bd591679ff7d42846ca3410eb591e" TargetMode="External" Id="rId1" /><Relationship Type="http://schemas.openxmlformats.org/officeDocument/2006/relationships/hyperlink" Target="https://www.volza.com/p/mangosteen-fruit/buyers/buyers-in-china/" TargetMode="External" Id="rId2" /><Relationship Type="http://schemas.openxmlformats.org/officeDocument/2006/relationships/hyperlink" Target="https://www.sclanghao.com/en/zhanluebuju/chuannongjing-hainan-guojimaoyiyouxiangongsi/" TargetMode="External" Id="rId3" /><Relationship Type="http://schemas.openxmlformats.org/officeDocument/2006/relationships/hyperlink" Target="https://www.goodfarmer.com/en/about.html" TargetMode="External" Id="rId4" /><Relationship Type="http://schemas.openxmlformats.org/officeDocument/2006/relationships/hyperlink" Target="http://en.gxmfruit.com/About.aspx?ClassID=45" TargetMode="External" Id="rId5" /><Relationship Type="http://schemas.openxmlformats.org/officeDocument/2006/relationships/hyperlink" Target="https://www.globalsources.com/guangzhou-zhanhui/contact-us_6008834714043.htm" TargetMode="External" Id="rId6" /><Relationship Type="http://schemas.openxmlformats.org/officeDocument/2006/relationships/hyperlink" Target="https://www.producereport.com/article/thailand-enjoys-lions-share-chinas-mangosteen-market" TargetMode="External" Id="rId7" /><Relationship Type="http://schemas.openxmlformats.org/officeDocument/2006/relationships/hyperlink" Target="https://www.importgenius.com/importers/shanghai-holdfresh-trading-co-ltd" TargetMode="External" Id="rId8" /><Relationship Type="http://schemas.openxmlformats.org/officeDocument/2006/relationships/hyperlink" Target="https://en.nbd.ltd/news/d/668bd591679ff7d42846ca3410eb591e" TargetMode="External" Id="rId9" /><Relationship Type="http://schemas.openxmlformats.org/officeDocument/2006/relationships/hyperlink" Target="https://cmcfruit.com/" TargetMode="External" Id="rId10" /><Relationship Type="http://schemas.openxmlformats.org/officeDocument/2006/relationships/hyperlink" Target="https://www.sino-alliance.com/en/contact-us/" TargetMode="External" Id="rId11" /><Relationship Type="http://schemas.openxmlformats.org/officeDocument/2006/relationships/hyperlink" Target="https://www.joywingmau.com/homeen/contact/index.html" TargetMode="External" Id="rId12" /><Relationship Type="http://schemas.openxmlformats.org/officeDocument/2006/relationships/hyperlink" Target="https://www.pagoda.com.cn/en/about" TargetMode="External" Id="rId13" /><Relationship Type="http://schemas.openxmlformats.org/officeDocument/2006/relationships/hyperlink" Target="http://www.xianfengsg.com/page78" TargetMode="External" Id="rId14" /><Relationship Type="http://schemas.openxmlformats.org/officeDocument/2006/relationships/hyperlink" Target="https://panjiva.com/Bailey-Fresh-Fruits-Co-Ltd-T-A-Prosperity-Fresh-Fruits-Trading-Co/149746110" TargetMode="External" Id="rId15" /><Relationship Type="http://schemas.openxmlformats.org/officeDocument/2006/relationships/hyperlink" Target="https://www.csfruit.com.hk/contact" TargetMode="External" Id="rId16" /><Relationship Type="http://schemas.openxmlformats.org/officeDocument/2006/relationships/hyperlink" Target="https://www.wingkee.com/contact-us/" TargetMode="External" Id="rId17" /><Relationship Type="http://schemas.openxmlformats.org/officeDocument/2006/relationships/hyperlink" Target="https://www.hjfruit.com/" TargetMode="External" Id="rId18" /><Relationship Type="http://schemas.openxmlformats.org/officeDocument/2006/relationships/hyperlink" Target="https://www.cnverify.com/company/Huasheng-International-Trade-Guangzhou-Co-Ltd" TargetMode="External" Id="rId19" /><Relationship Type="http://schemas.openxmlformats.org/officeDocument/2006/relationships/hyperlink" Target="https://sourcing.hktdc.com/en/Supplier-Store-Directory/Wah-Kee-Fresh-Fruit-Vegetable-Ltd/1X09P9CX" TargetMode="External" Id="rId20" /><Relationship Type="http://schemas.openxmlformats.org/officeDocument/2006/relationships/hyperlink" Target="https://www.alyusrafoodstuff.com/contact-us.php" TargetMode="External" Id="rId21" /><Relationship Type="http://schemas.openxmlformats.org/officeDocument/2006/relationships/hyperlink" Target="http://www.anusayafresh.com/contact.html" TargetMode="External" Id="rId22" /><Relationship Type="http://schemas.openxmlformats.org/officeDocument/2006/relationships/hyperlink" Target="https://eutofoods.com/" TargetMode="External" Id="rId23" /><Relationship Type="http://schemas.openxmlformats.org/officeDocument/2006/relationships/hyperlink" Target="https://freshleafuae.com/contact/" TargetMode="External" Id="rId24" /><Relationship Type="http://schemas.openxmlformats.org/officeDocument/2006/relationships/hyperlink" Target="https://sourceinternational.ae/contact/" TargetMode="External" Id="rId25" /><Relationship Type="http://schemas.openxmlformats.org/officeDocument/2006/relationships/hyperlink" Target="https://www.alqatarifruits.com/contacts.html" TargetMode="External" Id="rId26" /><Relationship Type="http://schemas.openxmlformats.org/officeDocument/2006/relationships/hyperlink" Target="https://sumafruits.com/en/contactus" TargetMode="External" Id="rId27" /><Relationship Type="http://schemas.openxmlformats.org/officeDocument/2006/relationships/hyperlink" Target="https://alshahabifruits.com/" TargetMode="External" Id="rId28" /><Relationship Type="http://schemas.openxmlformats.org/officeDocument/2006/relationships/hyperlink" Target="https://rff.qa/" TargetMode="External" Id="rId29" /><Relationship Type="http://schemas.openxmlformats.org/officeDocument/2006/relationships/hyperlink" Target="https://www.wfc-qatar.com/" TargetMode="External" Id="rId30" /><Relationship Type="http://schemas.openxmlformats.org/officeDocument/2006/relationships/hyperlink" Target="https://www.afdan.sa/en/contact-us.php" TargetMode="External" Id="rId31" /><Relationship Type="http://schemas.openxmlformats.org/officeDocument/2006/relationships/hyperlink" Target="https://blissberrys.com/contact-blissberry-fruit-vegetable-supplier/" TargetMode="External" Id="rId32" /><Relationship Type="http://schemas.openxmlformats.org/officeDocument/2006/relationships/hyperlink" Target="https://www.sharbatlyfruit.com/en/contact-us" TargetMode="External" Id="rId33" /><Relationship Type="http://schemas.openxmlformats.org/officeDocument/2006/relationships/hyperlink" Target="https://shrayanaljazeera.com/contact/" TargetMode="External" Id="rId34" /><Relationship Type="http://schemas.openxmlformats.org/officeDocument/2006/relationships/hyperlink" Target="https://ajmeer.ae/contact-us/" TargetMode="External" Id="rId35" /><Relationship Type="http://schemas.openxmlformats.org/officeDocument/2006/relationships/hyperlink" Target="http://www.barakatgroup.ae/contact.php" TargetMode="External" Id="rId36" /><Relationship Type="http://schemas.openxmlformats.org/officeDocument/2006/relationships/hyperlink" Target="https://www.freshavenuefoodstufftradingllc.com/" TargetMode="External" Id="rId37" /><Relationship Type="http://schemas.openxmlformats.org/officeDocument/2006/relationships/hyperlink" Target="https://www.kibsons.com/en/contactus" TargetMode="External" Id="rId38" /><Relationship Type="http://schemas.openxmlformats.org/officeDocument/2006/relationships/hyperlink" Target="https://meridianpf.com/contact-us/" TargetMode="External" Id="rId39" /><Relationship Type="http://schemas.openxmlformats.org/officeDocument/2006/relationships/hyperlink" Target="https://shababalaweer.ae/contact-us/" TargetMode="External" Id="rId40" /><Relationship Type="http://schemas.openxmlformats.org/officeDocument/2006/relationships/hyperlink" Target="https://www.alghanimsons.com/contact" TargetMode="External" Id="rId41" /><Relationship Type="http://schemas.openxmlformats.org/officeDocument/2006/relationships/hyperlink" Target="https://freshfruitoman.com/" TargetMode="External" Id="rId42" /><Relationship Type="http://schemas.openxmlformats.org/officeDocument/2006/relationships/hyperlink" Target="https://redcoltqatar.com/" TargetMode="External" Id="rId43" /><Relationship Type="http://schemas.openxmlformats.org/officeDocument/2006/relationships/hyperlink" Target="https://www.tamimimarkets.com/Contact" TargetMode="External" Id="rId44" /><Relationship Type="http://schemas.openxmlformats.org/officeDocument/2006/relationships/hyperlink" Target="https://www.almaya.ae/contact-us.php" TargetMode="External" Id="rId45" /><Relationship Type="http://schemas.openxmlformats.org/officeDocument/2006/relationships/table" Target="/xl/tables/table1.xml" Id="rId4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P55"/>
  <sheetViews>
    <sheetView showGridLines="0" zoomScale="9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6" customWidth="1" min="4" max="4"/>
    <col width="14" customWidth="1" min="5" max="5"/>
    <col width="9" customWidth="1" min="6" max="6"/>
    <col width="30" customWidth="1" min="7" max="7"/>
    <col width="14" customWidth="1" min="8" max="8"/>
    <col width="30" customWidth="1" min="9" max="9"/>
    <col width="22" customWidth="1" min="10" max="10"/>
    <col width="38" customWidth="1" min="11" max="11"/>
    <col width="20" customWidth="1" min="12" max="12"/>
    <col width="11" customWidth="1" min="13" max="13"/>
    <col width="13" customWidth="1" min="14" max="14"/>
    <col width="11" customWidth="1" min="15" max="15"/>
    <col width="26" customWidth="1" min="16" max="16"/>
  </cols>
  <sheetData>
    <row r="1" ht="34" customHeight="1">
      <c r="A1" s="1" t="inlineStr">
        <is>
          <t xml:space="preserve">  DATABASE BUYER MANGGIS SEGAR</t>
        </is>
      </c>
    </row>
    <row r="2" ht="20" customHeight="1">
      <c r="A2" s="2" t="inlineStr">
        <is>
          <t xml:space="preserve">  China · Hong Kong · UAE · Saudi Arabia · Qatar · Kuwait · Oman · Bahrain   |   Riset sumber publik, 27 Sep 2026</t>
        </is>
      </c>
    </row>
    <row r="3" ht="10" customHeight="1"/>
    <row r="4" ht="18" customHeight="1">
      <c r="B4" s="3" t="inlineStr">
        <is>
          <t>Total Buyer</t>
        </is>
      </c>
      <c r="C4" s="3" t="inlineStr">
        <is>
          <t>China &amp; Hong Kong</t>
        </is>
      </c>
      <c r="D4" s="4" t="n"/>
      <c r="E4" s="4" t="n"/>
      <c r="F4" s="3" t="inlineStr">
        <is>
          <t>Timur Tengah</t>
        </is>
      </c>
      <c r="G4" s="4" t="n"/>
      <c r="H4" s="3" t="inlineStr">
        <is>
          <t>Prioritas A</t>
        </is>
      </c>
      <c r="I4" s="4" t="n"/>
      <c r="J4" s="3" t="inlineStr">
        <is>
          <t>Punya Email</t>
        </is>
      </c>
      <c r="K4" s="4" t="n"/>
      <c r="L4" s="3" t="inlineStr">
        <is>
          <t>Sudah Dihubungi</t>
        </is>
      </c>
      <c r="M4" s="4" t="n"/>
      <c r="N4" s="4" t="n"/>
      <c r="O4" s="3" t="inlineStr">
        <is>
          <t>Deal</t>
        </is>
      </c>
      <c r="P4" s="4" t="n"/>
    </row>
    <row r="5" ht="30" customHeight="1">
      <c r="B5" s="5">
        <f>COUNTA($B$11:$B$255)</f>
        <v/>
      </c>
      <c r="C5" s="5">
        <f>COUNTIF($C$11:$C$255,"China")+COUNTIF($C$11:$C$255,"Hong Kong")</f>
        <v/>
      </c>
      <c r="D5" s="6" t="n"/>
      <c r="E5" s="6" t="n"/>
      <c r="F5" s="5">
        <f>COUNTA($B$11:$B$255)-COUNTIF($C$11:$C$255,"China")-COUNTIF($C$11:$C$255,"Hong Kong")</f>
        <v/>
      </c>
      <c r="G5" s="6" t="n"/>
      <c r="H5" s="5">
        <f>COUNTIF($F$11:$F$255,"A")</f>
        <v/>
      </c>
      <c r="I5" s="6" t="n"/>
      <c r="J5" s="5">
        <f>COUNTIF($I$11:$I$255,"?*")</f>
        <v/>
      </c>
      <c r="K5" s="6" t="n"/>
      <c r="L5" s="5">
        <f>COUNTA($B$11:$B$255)-COUNTIF($N$11:$N$255,"Baru")</f>
        <v/>
      </c>
      <c r="M5" s="6" t="n"/>
      <c r="N5" s="6" t="n"/>
      <c r="O5" s="5">
        <f>COUNTIF($N$11:$N$255,"Deal")</f>
        <v/>
      </c>
      <c r="P5" s="6" t="n"/>
    </row>
    <row r="6" ht="10" customHeight="1"/>
    <row r="7" ht="20" customHeight="1">
      <c r="B7" s="7" t="inlineStr">
        <is>
          <t>Keterangan</t>
        </is>
      </c>
      <c r="C7" s="8" t="inlineStr">
        <is>
          <t>A  ·  Terbukti impor manggis</t>
        </is>
      </c>
      <c r="D7" s="9" t="n"/>
      <c r="E7" s="9" t="n"/>
      <c r="F7" s="10" t="inlineStr">
        <is>
          <t>B  ·  Importir buah tropis</t>
        </is>
      </c>
      <c r="G7" s="11" t="n"/>
      <c r="H7" s="12" t="inlineStr">
        <is>
          <t>C  ·  Prospek sekunder</t>
        </is>
      </c>
      <c r="I7" s="13" t="n"/>
      <c r="J7" s="14" t="inlineStr">
        <is>
          <t>Kolom kuning = diisi Anda</t>
        </is>
      </c>
      <c r="K7" s="15" t="n"/>
      <c r="L7" s="16" t="inlineStr">
        <is>
          <t>Follow-up jatuh tempo</t>
        </is>
      </c>
      <c r="M7" s="17" t="n"/>
      <c r="N7" s="17" t="n"/>
      <c r="O7" s="8" t="inlineStr">
        <is>
          <t>Status Deal</t>
        </is>
      </c>
      <c r="P7" s="9" t="n"/>
    </row>
    <row r="8">
      <c r="B8" s="18" t="inlineStr">
        <is>
          <t>Keyakinan kontak: Tinggi = dari situs resmi perusahaan · Sedang = dari direktori/data dagang pihak ketiga. Konfirmasi kontak sebelum mengirim penawaran harga.</t>
        </is>
      </c>
    </row>
    <row r="9" ht="8" customHeight="1"/>
    <row r="10" ht="28" customHeight="1">
      <c r="A10" s="19" t="inlineStr">
        <is>
          <t>No</t>
        </is>
      </c>
      <c r="B10" s="19" t="inlineStr">
        <is>
          <t>Perusahaan</t>
        </is>
      </c>
      <c r="C10" s="19" t="inlineStr">
        <is>
          <t>Negara</t>
        </is>
      </c>
      <c r="D10" s="19" t="inlineStr">
        <is>
          <t>Kota</t>
        </is>
      </c>
      <c r="E10" s="19" t="inlineStr">
        <is>
          <t>Tipe</t>
        </is>
      </c>
      <c r="F10" s="19" t="inlineStr">
        <is>
          <t>Prioritas</t>
        </is>
      </c>
      <c r="G10" s="19" t="inlineStr">
        <is>
          <t>Produk / Fokus</t>
        </is>
      </c>
      <c r="H10" s="19" t="inlineStr">
        <is>
          <t>PIC</t>
        </is>
      </c>
      <c r="I10" s="19" t="inlineStr">
        <is>
          <t>Email</t>
        </is>
      </c>
      <c r="J10" s="19" t="inlineStr">
        <is>
          <t>Telepon</t>
        </is>
      </c>
      <c r="K10" s="19" t="inlineStr">
        <is>
          <t>Alamat</t>
        </is>
      </c>
      <c r="L10" s="19" t="inlineStr">
        <is>
          <t>Link Kontak</t>
        </is>
      </c>
      <c r="M10" s="19" t="inlineStr">
        <is>
          <t>Keyakinan</t>
        </is>
      </c>
      <c r="N10" s="19" t="inlineStr">
        <is>
          <t>Status</t>
        </is>
      </c>
      <c r="O10" s="19" t="inlineStr">
        <is>
          <t>Follow-up</t>
        </is>
      </c>
      <c r="P10" s="19" t="inlineStr">
        <is>
          <t>Catatan</t>
        </is>
      </c>
    </row>
    <row r="11" ht="47" customHeight="1">
      <c r="A11" s="20" t="n">
        <v>1</v>
      </c>
      <c r="B11" s="21" t="inlineStr">
        <is>
          <t>Beijing Junhui International Trading Co., Ltd.</t>
        </is>
      </c>
      <c r="C11" s="20" t="inlineStr">
        <is>
          <t>China</t>
        </is>
      </c>
      <c r="D11" s="22" t="inlineStr">
        <is>
          <t>Beijing</t>
        </is>
      </c>
      <c r="E11" s="20" t="inlineStr">
        <is>
          <t>Importir</t>
        </is>
      </c>
      <c r="F11" s="20" t="inlineStr">
        <is>
          <t>A</t>
        </is>
      </c>
      <c r="G11" s="22" t="inlineStr">
        <is>
          <t>Manggis dari Indonesia</t>
        </is>
      </c>
      <c r="H11" s="23" t="n"/>
      <c r="I11" s="23" t="n"/>
      <c r="J11" s="23" t="n"/>
      <c r="K11" s="22" t="inlineStr">
        <is>
          <t>No. 22121, No. 2 Baolian Street, Beijing Tianzhu Free Trade Zone, Shunyi, Beijing</t>
        </is>
      </c>
      <c r="L11" s="24" t="inlineStr">
        <is>
          <t>en.nbd.ltd</t>
        </is>
      </c>
      <c r="M11" s="20" t="inlineStr">
        <is>
          <t>Sedang</t>
        </is>
      </c>
      <c r="N11" s="25" t="inlineStr">
        <is>
          <t>Baru</t>
        </is>
      </c>
      <c r="O11" s="26" t="n"/>
      <c r="P11" s="23" t="n"/>
    </row>
    <row r="12" ht="34" customHeight="1">
      <c r="A12" s="20" t="n">
        <v>2</v>
      </c>
      <c r="B12" s="21" t="inlineStr">
        <is>
          <t>Beijing Junyao International</t>
        </is>
      </c>
      <c r="C12" s="20" t="inlineStr">
        <is>
          <t>China</t>
        </is>
      </c>
      <c r="D12" s="22" t="inlineStr">
        <is>
          <t>Beijing</t>
        </is>
      </c>
      <c r="E12" s="20" t="inlineStr">
        <is>
          <t>Importir</t>
        </is>
      </c>
      <c r="F12" s="20" t="inlineStr">
        <is>
          <t>A</t>
        </is>
      </c>
      <c r="G12" s="22" t="inlineStr">
        <is>
          <t>Manggis segar (Indonesia, Thailand)</t>
        </is>
      </c>
      <c r="H12" s="23" t="n"/>
      <c r="I12" s="23" t="n"/>
      <c r="J12" s="23" t="n"/>
      <c r="K12" s="22" t="inlineStr">
        <is>
          <t>Room 301, Unit 4, Building N1, Nanfaxin Town, Shunyi District, Beijing 101300</t>
        </is>
      </c>
      <c r="L12" s="24" t="inlineStr">
        <is>
          <t>volza.com</t>
        </is>
      </c>
      <c r="M12" s="20" t="inlineStr">
        <is>
          <t>Sedang</t>
        </is>
      </c>
      <c r="N12" s="25" t="inlineStr">
        <is>
          <t>Baru</t>
        </is>
      </c>
      <c r="O12" s="26" t="n"/>
      <c r="P12" s="23" t="n"/>
    </row>
    <row r="13" ht="34" customHeight="1">
      <c r="A13" s="20" t="n">
        <v>3</v>
      </c>
      <c r="B13" s="21" t="inlineStr">
        <is>
          <t>Chuannongjing (Hainan) International Trade Co., Ltd.</t>
        </is>
      </c>
      <c r="C13" s="20" t="inlineStr">
        <is>
          <t>China</t>
        </is>
      </c>
      <c r="D13" s="22" t="inlineStr">
        <is>
          <t>Hainan</t>
        </is>
      </c>
      <c r="E13" s="20" t="inlineStr">
        <is>
          <t>Importir</t>
        </is>
      </c>
      <c r="F13" s="20" t="inlineStr">
        <is>
          <t>A</t>
        </is>
      </c>
      <c r="G13" s="22" t="inlineStr">
        <is>
          <t>Produk segar global, manggis</t>
        </is>
      </c>
      <c r="H13" s="23" t="n"/>
      <c r="I13" s="23" t="n"/>
      <c r="J13" s="23" t="n"/>
      <c r="K13" s="22" t="n"/>
      <c r="L13" s="24" t="inlineStr">
        <is>
          <t>sclanghao.com</t>
        </is>
      </c>
      <c r="M13" s="20" t="inlineStr">
        <is>
          <t>-</t>
        </is>
      </c>
      <c r="N13" s="25" t="inlineStr">
        <is>
          <t>Baru</t>
        </is>
      </c>
      <c r="O13" s="26" t="n"/>
      <c r="P13" s="23" t="n"/>
    </row>
    <row r="14" ht="34" customHeight="1">
      <c r="A14" s="20" t="n">
        <v>4</v>
      </c>
      <c r="B14" s="21" t="inlineStr">
        <is>
          <t>Goodfarmer (Jianong Food Holding Group)</t>
        </is>
      </c>
      <c r="C14" s="20" t="inlineStr">
        <is>
          <t>China</t>
        </is>
      </c>
      <c r="D14" s="22" t="inlineStr">
        <is>
          <t>Shanghai</t>
        </is>
      </c>
      <c r="E14" s="20" t="inlineStr">
        <is>
          <t>Importir</t>
        </is>
      </c>
      <c r="F14" s="20" t="inlineStr">
        <is>
          <t>A</t>
        </is>
      </c>
      <c r="G14" s="22" t="inlineStr">
        <is>
          <t>Durian, lengkeng, manggis, pisang, nanas</t>
        </is>
      </c>
      <c r="H14" s="23" t="n"/>
      <c r="I14" s="23" t="n"/>
      <c r="J14" s="23" t="n"/>
      <c r="K14" s="22" t="inlineStr">
        <is>
          <t>Area E, 11/F, No.6, Lane 2449, Jinhai Road, Pudong, Shanghai 201209</t>
        </is>
      </c>
      <c r="L14" s="24" t="inlineStr">
        <is>
          <t>goodfarmer.com</t>
        </is>
      </c>
      <c r="M14" s="20" t="inlineStr">
        <is>
          <t>Sedang</t>
        </is>
      </c>
      <c r="N14" s="25" t="inlineStr">
        <is>
          <t>Baru</t>
        </is>
      </c>
      <c r="O14" s="26" t="n"/>
      <c r="P14" s="23" t="n"/>
    </row>
    <row r="15" ht="34" customHeight="1">
      <c r="A15" s="20" t="n">
        <v>5</v>
      </c>
      <c r="B15" s="21" t="inlineStr">
        <is>
          <t>Guangzhou Wen Wu He Tai Trading Co., Ltd.</t>
        </is>
      </c>
      <c r="C15" s="20" t="inlineStr">
        <is>
          <t>China</t>
        </is>
      </c>
      <c r="D15" s="22" t="inlineStr">
        <is>
          <t>Guangzhou</t>
        </is>
      </c>
      <c r="E15" s="20" t="inlineStr">
        <is>
          <t>Importir</t>
        </is>
      </c>
      <c r="F15" s="20" t="inlineStr">
        <is>
          <t>A</t>
        </is>
      </c>
      <c r="G15" s="22" t="inlineStr">
        <is>
          <t>Buah Asia Tenggara termasuk manggis</t>
        </is>
      </c>
      <c r="H15" s="23" t="n"/>
      <c r="I15" s="23" t="n"/>
      <c r="J15" s="23" t="n"/>
      <c r="K15" s="22" t="inlineStr">
        <is>
          <t>Shop 107, Bldg 2, No. 844 Zengcha Road, Baiyun District, Guangzhou</t>
        </is>
      </c>
      <c r="L15" s="24" t="inlineStr">
        <is>
          <t>en.gxmfruit.com</t>
        </is>
      </c>
      <c r="M15" s="20" t="inlineStr">
        <is>
          <t>Tinggi</t>
        </is>
      </c>
      <c r="N15" s="25" t="inlineStr">
        <is>
          <t>Baru</t>
        </is>
      </c>
      <c r="O15" s="26" t="n"/>
      <c r="P15" s="23" t="n"/>
    </row>
    <row r="16" ht="34" customHeight="1">
      <c r="A16" s="20" t="n">
        <v>6</v>
      </c>
      <c r="B16" s="21" t="inlineStr">
        <is>
          <t>Guangzhou Zhanhui Trade Co., Ltd.</t>
        </is>
      </c>
      <c r="C16" s="20" t="inlineStr">
        <is>
          <t>China</t>
        </is>
      </c>
      <c r="D16" s="22" t="inlineStr">
        <is>
          <t>Guangzhou</t>
        </is>
      </c>
      <c r="E16" s="20" t="inlineStr">
        <is>
          <t>Importir</t>
        </is>
      </c>
      <c r="F16" s="20" t="inlineStr">
        <is>
          <t>A</t>
        </is>
      </c>
      <c r="G16" s="22" t="inlineStr">
        <is>
          <t>Durian, lengkeng, manggis Thailand; buah naga Vietnam</t>
        </is>
      </c>
      <c r="H16" s="23" t="n"/>
      <c r="I16" s="23" t="n"/>
      <c r="J16" s="23" t="inlineStr">
        <is>
          <t>+86 20 3433 3222</t>
        </is>
      </c>
      <c r="K16" s="22" t="inlineStr">
        <is>
          <t>No. 22, Business Tower C, Jiangnan Fruit Market, Zengcha Road, Guangzhou</t>
        </is>
      </c>
      <c r="L16" s="24" t="inlineStr">
        <is>
          <t>globalsources.com</t>
        </is>
      </c>
      <c r="M16" s="20" t="inlineStr">
        <is>
          <t>Sedang</t>
        </is>
      </c>
      <c r="N16" s="25" t="inlineStr">
        <is>
          <t>Baru</t>
        </is>
      </c>
      <c r="O16" s="26" t="n"/>
      <c r="P16" s="23" t="n"/>
    </row>
    <row r="17" ht="30" customHeight="1">
      <c r="A17" s="20" t="n">
        <v>7</v>
      </c>
      <c r="B17" s="21" t="inlineStr">
        <is>
          <t>Shanghai Binyue Trade Co., Ltd.</t>
        </is>
      </c>
      <c r="C17" s="20" t="inlineStr">
        <is>
          <t>China</t>
        </is>
      </c>
      <c r="D17" s="22" t="inlineStr">
        <is>
          <t>Shanghai</t>
        </is>
      </c>
      <c r="E17" s="20" t="inlineStr">
        <is>
          <t>Wholesaler</t>
        </is>
      </c>
      <c r="F17" s="20" t="inlineStr">
        <is>
          <t>A</t>
        </is>
      </c>
      <c r="G17" s="22" t="inlineStr">
        <is>
          <t>Manggis Thailand (merek Limei)</t>
        </is>
      </c>
      <c r="H17" s="23" t="n"/>
      <c r="I17" s="23" t="n"/>
      <c r="J17" s="23" t="n"/>
      <c r="K17" s="22" t="inlineStr">
        <is>
          <t>Pasar Buah Huizhan, Shanghai</t>
        </is>
      </c>
      <c r="L17" s="24" t="inlineStr">
        <is>
          <t>producereport.com</t>
        </is>
      </c>
      <c r="M17" s="20" t="inlineStr">
        <is>
          <t>-</t>
        </is>
      </c>
      <c r="N17" s="25" t="inlineStr">
        <is>
          <t>Baru</t>
        </is>
      </c>
      <c r="O17" s="26" t="n"/>
      <c r="P17" s="23" t="n"/>
    </row>
    <row r="18" ht="34" customHeight="1">
      <c r="A18" s="20" t="n">
        <v>8</v>
      </c>
      <c r="B18" s="21" t="inlineStr">
        <is>
          <t>Shanghai Holdfresh Trading Co., Ltd.</t>
        </is>
      </c>
      <c r="C18" s="20" t="inlineStr">
        <is>
          <t>China</t>
        </is>
      </c>
      <c r="D18" s="22" t="inlineStr">
        <is>
          <t>Shanghai</t>
        </is>
      </c>
      <c r="E18" s="20" t="inlineStr">
        <is>
          <t>Importir</t>
        </is>
      </c>
      <c r="F18" s="20" t="inlineStr">
        <is>
          <t>A</t>
        </is>
      </c>
      <c r="G18" s="22" t="inlineStr">
        <is>
          <t>Buah tropis termasuk manggis</t>
        </is>
      </c>
      <c r="H18" s="23" t="n"/>
      <c r="I18" s="23" t="inlineStr">
        <is>
          <t>shanghaiholdfresh@outlook.com</t>
        </is>
      </c>
      <c r="J18" s="23" t="inlineStr">
        <is>
          <t>+86 21 6380 6036</t>
        </is>
      </c>
      <c r="K18" s="22" t="inlineStr">
        <is>
          <t>Room 270, 2F, Bldg 4, No.130 Huxiang Lane, Sanlin Town, Pudong, Shanghai</t>
        </is>
      </c>
      <c r="L18" s="24" t="inlineStr">
        <is>
          <t>importgenius.com</t>
        </is>
      </c>
      <c r="M18" s="20" t="inlineStr">
        <is>
          <t>Sedang</t>
        </is>
      </c>
      <c r="N18" s="25" t="inlineStr">
        <is>
          <t>Baru</t>
        </is>
      </c>
      <c r="O18" s="26" t="n"/>
      <c r="P18" s="23" t="n"/>
    </row>
    <row r="19" ht="34" customHeight="1">
      <c r="A19" s="20" t="n">
        <v>9</v>
      </c>
      <c r="B19" s="21" t="inlineStr">
        <is>
          <t>Shanghai Sunshine Agriculture Technology Co., Ltd.</t>
        </is>
      </c>
      <c r="C19" s="20" t="inlineStr">
        <is>
          <t>China</t>
        </is>
      </c>
      <c r="D19" s="22" t="inlineStr">
        <is>
          <t>Shanghai</t>
        </is>
      </c>
      <c r="E19" s="20" t="inlineStr">
        <is>
          <t>Importir</t>
        </is>
      </c>
      <c r="F19" s="20" t="inlineStr">
        <is>
          <t>A</t>
        </is>
      </c>
      <c r="G19" s="22" t="inlineStr">
        <is>
          <t>Manggis dari Indonesia</t>
        </is>
      </c>
      <c r="H19" s="23" t="n"/>
      <c r="I19" s="23" t="n"/>
      <c r="J19" s="23" t="n"/>
      <c r="K19" s="22" t="inlineStr">
        <is>
          <t>Room 420-39, No. 1285 Wuwei Road, Putuo District, Shanghai 200331 (belum pasti)</t>
        </is>
      </c>
      <c r="L19" s="24" t="inlineStr">
        <is>
          <t>en.nbd.ltd</t>
        </is>
      </c>
      <c r="M19" s="20" t="inlineStr">
        <is>
          <t>Sedang</t>
        </is>
      </c>
      <c r="N19" s="25" t="inlineStr">
        <is>
          <t>Baru</t>
        </is>
      </c>
      <c r="O19" s="26" t="n"/>
      <c r="P19" s="23" t="n"/>
    </row>
    <row r="20" ht="47" customHeight="1">
      <c r="A20" s="20" t="n">
        <v>10</v>
      </c>
      <c r="B20" s="21" t="inlineStr">
        <is>
          <t>CMC Fruit Company Limited</t>
        </is>
      </c>
      <c r="C20" s="20" t="inlineStr">
        <is>
          <t>Hong Kong</t>
        </is>
      </c>
      <c r="D20" s="22" t="inlineStr">
        <is>
          <t>Hong Kong</t>
        </is>
      </c>
      <c r="E20" s="20" t="inlineStr">
        <is>
          <t>Importir</t>
        </is>
      </c>
      <c r="F20" s="20" t="inlineStr">
        <is>
          <t>A</t>
        </is>
      </c>
      <c r="G20" s="22" t="inlineStr">
        <is>
          <t>Durian, lengkeng, pomelo, longkong Thailand</t>
        </is>
      </c>
      <c r="H20" s="23" t="n"/>
      <c r="I20" s="23" t="n"/>
      <c r="J20" s="23" t="inlineStr">
        <is>
          <t>+852 2858 6328
WA +852 9331 1122</t>
        </is>
      </c>
      <c r="K20" s="22" t="inlineStr">
        <is>
          <t>Room 3701, 37/F, Chung Kee Commercial Centre, 148 Connaught Road West, Hong Kong</t>
        </is>
      </c>
      <c r="L20" s="24" t="inlineStr">
        <is>
          <t>cmcfruit.com</t>
        </is>
      </c>
      <c r="M20" s="20" t="inlineStr">
        <is>
          <t>Tinggi</t>
        </is>
      </c>
      <c r="N20" s="25" t="inlineStr">
        <is>
          <t>Baru</t>
        </is>
      </c>
      <c r="O20" s="26" t="n"/>
      <c r="P20" s="23" t="n"/>
    </row>
    <row r="21" ht="34" customHeight="1">
      <c r="A21" s="20" t="n">
        <v>11</v>
      </c>
      <c r="B21" s="21" t="inlineStr">
        <is>
          <t>Sino Alliance Trading (Hong Kong) Limited</t>
        </is>
      </c>
      <c r="C21" s="20" t="inlineStr">
        <is>
          <t>Hong Kong</t>
        </is>
      </c>
      <c r="D21" s="22" t="inlineStr">
        <is>
          <t>Yau Ma Tei, Kowloon</t>
        </is>
      </c>
      <c r="E21" s="20" t="inlineStr">
        <is>
          <t>Importir</t>
        </is>
      </c>
      <c r="F21" s="20" t="inlineStr">
        <is>
          <t>A</t>
        </is>
      </c>
      <c r="G21" s="22" t="inlineStr">
        <is>
          <t>Buah segar dari 30+ negara</t>
        </is>
      </c>
      <c r="H21" s="23" t="n"/>
      <c r="I21" s="23" t="inlineStr">
        <is>
          <t>info@sino-alliance.com</t>
        </is>
      </c>
      <c r="J21" s="23" t="inlineStr">
        <is>
          <t>+852 9851 3482</t>
        </is>
      </c>
      <c r="K21" s="22" t="inlineStr">
        <is>
          <t>Flat 1901, 19/F Bangkok Bank Bldg, 490-492 Nathan Road, Yau Ma Tei, Kowloon, HK</t>
        </is>
      </c>
      <c r="L21" s="24" t="inlineStr">
        <is>
          <t>sino-alliance.com</t>
        </is>
      </c>
      <c r="M21" s="20" t="inlineStr">
        <is>
          <t>Tinggi</t>
        </is>
      </c>
      <c r="N21" s="25" t="inlineStr">
        <is>
          <t>Baru</t>
        </is>
      </c>
      <c r="O21" s="26" t="n"/>
      <c r="P21" s="23" t="n"/>
    </row>
    <row r="22" ht="34" customHeight="1">
      <c r="A22" s="20" t="n">
        <v>12</v>
      </c>
      <c r="B22" s="21" t="inlineStr">
        <is>
          <t>Joy Wing Mau Fruit Technologies Corp.</t>
        </is>
      </c>
      <c r="C22" s="20" t="inlineStr">
        <is>
          <t>China</t>
        </is>
      </c>
      <c r="D22" s="22" t="inlineStr">
        <is>
          <t>Shenzhen</t>
        </is>
      </c>
      <c r="E22" s="20" t="inlineStr">
        <is>
          <t>Distributor</t>
        </is>
      </c>
      <c r="F22" s="20" t="inlineStr">
        <is>
          <t>B</t>
        </is>
      </c>
      <c r="G22" s="22" t="inlineStr">
        <is>
          <t>Buah impor, durian Thailand; distribusi nasional</t>
        </is>
      </c>
      <c r="H22" s="23" t="n"/>
      <c r="I22" s="23" t="n"/>
      <c r="J22" s="23" t="inlineStr">
        <is>
          <t>+86 755 2592 8988
2518 2988</t>
        </is>
      </c>
      <c r="K22" s="22" t="inlineStr">
        <is>
          <t>Joy Wing Mau Binhai Tower, No.170 Hangcheng Avenue, Bao'an, Shenzhen</t>
        </is>
      </c>
      <c r="L22" s="24" t="inlineStr">
        <is>
          <t>joywingmau.com</t>
        </is>
      </c>
      <c r="M22" s="20" t="inlineStr">
        <is>
          <t>Tinggi</t>
        </is>
      </c>
      <c r="N22" s="25" t="inlineStr">
        <is>
          <t>Baru</t>
        </is>
      </c>
      <c r="O22" s="26" t="n"/>
      <c r="P22" s="23" t="n"/>
    </row>
    <row r="23" ht="34" customHeight="1">
      <c r="A23" s="20" t="n">
        <v>13</v>
      </c>
      <c r="B23" s="21" t="inlineStr">
        <is>
          <t>Pagoda (Shenzhen Pagoda Industrial / Baiguoyuan)</t>
        </is>
      </c>
      <c r="C23" s="20" t="inlineStr">
        <is>
          <t>China</t>
        </is>
      </c>
      <c r="D23" s="22" t="inlineStr">
        <is>
          <t>Shenzhen</t>
        </is>
      </c>
      <c r="E23" s="20" t="inlineStr">
        <is>
          <t>Retail/Supermarket</t>
        </is>
      </c>
      <c r="F23" s="20" t="inlineStr">
        <is>
          <t>B</t>
        </is>
      </c>
      <c r="G23" s="22" t="inlineStr">
        <is>
          <t>Rantai ritel buah; sourcing langsung luar negeri</t>
        </is>
      </c>
      <c r="H23" s="23" t="n"/>
      <c r="I23" s="23" t="n"/>
      <c r="J23" s="23" t="inlineStr">
        <is>
          <t>400-181-1212
+86 755 3686 5476</t>
        </is>
      </c>
      <c r="K23" s="22" t="inlineStr">
        <is>
          <t>Baiguoyuan Technology Bldg, No. 2005 Shenyan Road, Haishan Street, Shenzhen</t>
        </is>
      </c>
      <c r="L23" s="24" t="inlineStr">
        <is>
          <t>pagoda.com.cn</t>
        </is>
      </c>
      <c r="M23" s="20" t="inlineStr">
        <is>
          <t>Tinggi</t>
        </is>
      </c>
      <c r="N23" s="25" t="inlineStr">
        <is>
          <t>Baru</t>
        </is>
      </c>
      <c r="O23" s="26" t="n"/>
      <c r="P23" s="23" t="n"/>
    </row>
    <row r="24" ht="34" customHeight="1">
      <c r="A24" s="20" t="n">
        <v>14</v>
      </c>
      <c r="B24" s="21" t="inlineStr">
        <is>
          <t>Xianfeng Fruit Co., Ltd.</t>
        </is>
      </c>
      <c r="C24" s="20" t="inlineStr">
        <is>
          <t>China</t>
        </is>
      </c>
      <c r="D24" s="22" t="n"/>
      <c r="E24" s="20" t="inlineStr">
        <is>
          <t>Importir</t>
        </is>
      </c>
      <c r="F24" s="20" t="inlineStr">
        <is>
          <t>B</t>
        </is>
      </c>
      <c r="G24" s="22" t="inlineStr">
        <is>
          <t>Impor global termasuk durian Thailand; punya jaringan toko</t>
        </is>
      </c>
      <c r="H24" s="23" t="n"/>
      <c r="I24" s="23" t="n"/>
      <c r="J24" s="23" t="inlineStr">
        <is>
          <t>400 881 9090 (hotline)</t>
        </is>
      </c>
      <c r="K24" s="22" t="inlineStr">
        <is>
          <t>No. 85 Sandun Road, Gongshu District, Hangzhou</t>
        </is>
      </c>
      <c r="L24" s="24" t="inlineStr">
        <is>
          <t>xianfengsg.com</t>
        </is>
      </c>
      <c r="M24" s="20" t="inlineStr">
        <is>
          <t>Tinggi</t>
        </is>
      </c>
      <c r="N24" s="25" t="inlineStr">
        <is>
          <t>Baru</t>
        </is>
      </c>
      <c r="O24" s="26" t="n"/>
      <c r="P24" s="23" t="n"/>
    </row>
    <row r="25" ht="34" customHeight="1">
      <c r="A25" s="20" t="n">
        <v>15</v>
      </c>
      <c r="B25" s="21" t="inlineStr">
        <is>
          <t>Bailey Fresh Fruits Co., Ltd. (Prosperity Fresh Fruits Trading)</t>
        </is>
      </c>
      <c r="C25" s="20" t="inlineStr">
        <is>
          <t>Hong Kong</t>
        </is>
      </c>
      <c r="D25" s="22" t="inlineStr">
        <is>
          <t>Yau Ma Tei, Kowloon</t>
        </is>
      </c>
      <c r="E25" s="20" t="inlineStr">
        <is>
          <t>Importir</t>
        </is>
      </c>
      <c r="F25" s="20" t="inlineStr">
        <is>
          <t>B</t>
        </is>
      </c>
      <c r="G25" s="22" t="inlineStr">
        <is>
          <t>Durian dan buah tropis</t>
        </is>
      </c>
      <c r="H25" s="23" t="n"/>
      <c r="I25" s="23" t="n"/>
      <c r="J25" s="23" t="n"/>
      <c r="K25" s="22" t="inlineStr">
        <is>
          <t>G/F 1A Waterloo Road, Yau Ma Tei, Kowloon, HK</t>
        </is>
      </c>
      <c r="L25" s="24" t="inlineStr">
        <is>
          <t>panjiva.com</t>
        </is>
      </c>
      <c r="M25" s="20" t="inlineStr">
        <is>
          <t>Sedang</t>
        </is>
      </c>
      <c r="N25" s="25" t="inlineStr">
        <is>
          <t>Baru</t>
        </is>
      </c>
      <c r="O25" s="26" t="n"/>
      <c r="P25" s="23" t="n"/>
    </row>
    <row r="26" ht="47" customHeight="1">
      <c r="A26" s="20" t="n">
        <v>16</v>
      </c>
      <c r="B26" s="21" t="inlineStr">
        <is>
          <t>Chun Sing Fresh Fruit Trading Limited</t>
        </is>
      </c>
      <c r="C26" s="20" t="inlineStr">
        <is>
          <t>Hong Kong</t>
        </is>
      </c>
      <c r="D26" s="22" t="inlineStr">
        <is>
          <t>Yau Ma Tei, Kowloon</t>
        </is>
      </c>
      <c r="E26" s="20" t="inlineStr">
        <is>
          <t>Importir</t>
        </is>
      </c>
      <c r="F26" s="20" t="inlineStr">
        <is>
          <t>B</t>
        </is>
      </c>
      <c r="G26" s="22" t="inlineStr">
        <is>
          <t>Impor buah &amp; sayur; grosir dan ritel</t>
        </is>
      </c>
      <c r="H26" s="23" t="inlineStr">
        <is>
          <t>Tony Lau</t>
        </is>
      </c>
      <c r="I26" s="23" t="inlineStr">
        <is>
          <t>chunsingco@gmail.com</t>
        </is>
      </c>
      <c r="J26" s="23" t="inlineStr">
        <is>
          <t>+852 2385 0925
+852 6680 2121 (Tony Lau)</t>
        </is>
      </c>
      <c r="K26" s="22" t="inlineStr">
        <is>
          <t>No.15 Wholesale Fruit Market, Waterloo Road, Yau Ma Tei, Kowloon, HK</t>
        </is>
      </c>
      <c r="L26" s="24" t="inlineStr">
        <is>
          <t>csfruit.com.hk</t>
        </is>
      </c>
      <c r="M26" s="20" t="inlineStr">
        <is>
          <t>Tinggi</t>
        </is>
      </c>
      <c r="N26" s="25" t="inlineStr">
        <is>
          <t>Baru</t>
        </is>
      </c>
      <c r="O26" s="26" t="n"/>
      <c r="P26" s="23" t="n"/>
    </row>
    <row r="27" ht="34" customHeight="1">
      <c r="A27" s="20" t="n">
        <v>17</v>
      </c>
      <c r="B27" s="21" t="inlineStr">
        <is>
          <t>Wing Kee Produce Limited</t>
        </is>
      </c>
      <c r="C27" s="20" t="inlineStr">
        <is>
          <t>Hong Kong</t>
        </is>
      </c>
      <c r="D27" s="22" t="inlineStr">
        <is>
          <t>Kowloon Bay</t>
        </is>
      </c>
      <c r="E27" s="20" t="inlineStr">
        <is>
          <t>Importir</t>
        </is>
      </c>
      <c r="F27" s="20" t="inlineStr">
        <is>
          <t>B</t>
        </is>
      </c>
      <c r="G27" s="22" t="inlineStr">
        <is>
          <t>Buah &amp; sayur termasuk tropis</t>
        </is>
      </c>
      <c r="H27" s="23" t="n"/>
      <c r="I27" s="23" t="inlineStr">
        <is>
          <t>wkpl@wingkee.com</t>
        </is>
      </c>
      <c r="J27" s="23" t="inlineStr">
        <is>
          <t>Sales +852 2796 3111</t>
        </is>
      </c>
      <c r="K27" s="22" t="inlineStr">
        <is>
          <t>G/F Hong Leong Ind. Complex, 4 Wang Kwong Road, Kowloon Bay, HK</t>
        </is>
      </c>
      <c r="L27" s="24" t="inlineStr">
        <is>
          <t>wingkee.com</t>
        </is>
      </c>
      <c r="M27" s="20" t="inlineStr">
        <is>
          <t>Tinggi</t>
        </is>
      </c>
      <c r="N27" s="25" t="inlineStr">
        <is>
          <t>Baru</t>
        </is>
      </c>
      <c r="O27" s="26" t="n"/>
      <c r="P27" s="23" t="n"/>
    </row>
    <row r="28" ht="47" customHeight="1">
      <c r="A28" s="20" t="n">
        <v>18</v>
      </c>
      <c r="B28" s="21" t="inlineStr">
        <is>
          <t>Chongqing Hongjiu Fruit Co., Ltd.</t>
        </is>
      </c>
      <c r="C28" s="20" t="inlineStr">
        <is>
          <t>China</t>
        </is>
      </c>
      <c r="D28" s="22" t="inlineStr">
        <is>
          <t>Chongqing</t>
        </is>
      </c>
      <c r="E28" s="20" t="inlineStr">
        <is>
          <t>Distributor</t>
        </is>
      </c>
      <c r="F28" s="20" t="inlineStr">
        <is>
          <t>C</t>
        </is>
      </c>
      <c r="G28" s="22" t="inlineStr">
        <is>
          <t>Durian, manggis, lengkeng Thailand</t>
        </is>
      </c>
      <c r="H28" s="23" t="n"/>
      <c r="I28" s="23" t="n"/>
      <c r="J28" s="23" t="inlineStr">
        <is>
          <t>+86 23 6706 4616</t>
        </is>
      </c>
      <c r="K28" s="22" t="inlineStr">
        <is>
          <t>22F, Block B, Zhongtiefenghui, No. 3 Donghu South Road, Yubei District, Chongqing</t>
        </is>
      </c>
      <c r="L28" s="24" t="inlineStr">
        <is>
          <t>hjfruit.com</t>
        </is>
      </c>
      <c r="M28" s="20" t="inlineStr">
        <is>
          <t>Tinggi</t>
        </is>
      </c>
      <c r="N28" s="25" t="inlineStr">
        <is>
          <t>Baru</t>
        </is>
      </c>
      <c r="O28" s="26" t="n"/>
      <c r="P28" s="23" t="n"/>
    </row>
    <row r="29" ht="34" customHeight="1">
      <c r="A29" s="20" t="n">
        <v>19</v>
      </c>
      <c r="B29" s="21" t="inlineStr">
        <is>
          <t>Huasheng International Trade (Guangzhou) Co., Ltd.</t>
        </is>
      </c>
      <c r="C29" s="20" t="inlineStr">
        <is>
          <t>China</t>
        </is>
      </c>
      <c r="D29" s="22" t="inlineStr">
        <is>
          <t>Guangzhou</t>
        </is>
      </c>
      <c r="E29" s="20" t="inlineStr">
        <is>
          <t>Wholesaler</t>
        </is>
      </c>
      <c r="F29" s="20" t="inlineStr">
        <is>
          <t>C</t>
        </is>
      </c>
      <c r="G29" s="22" t="inlineStr">
        <is>
          <t>Buah impor (ceri, anggur, blueberry, kiwi)</t>
        </is>
      </c>
      <c r="H29" s="23" t="n"/>
      <c r="I29" s="23" t="n"/>
      <c r="J29" s="23" t="n"/>
      <c r="K29" s="22" t="n"/>
      <c r="L29" s="24" t="inlineStr">
        <is>
          <t>cnverify.com</t>
        </is>
      </c>
      <c r="M29" s="20" t="inlineStr">
        <is>
          <t>-</t>
        </is>
      </c>
      <c r="N29" s="25" t="inlineStr">
        <is>
          <t>Baru</t>
        </is>
      </c>
      <c r="O29" s="26" t="n"/>
      <c r="P29" s="23" t="n"/>
    </row>
    <row r="30" ht="34" customHeight="1">
      <c r="A30" s="20" t="n">
        <v>20</v>
      </c>
      <c r="B30" s="21" t="inlineStr">
        <is>
          <t>Wah Kee Fresh Fruit &amp; Vegetable Ltd</t>
        </is>
      </c>
      <c r="C30" s="20" t="inlineStr">
        <is>
          <t>Hong Kong</t>
        </is>
      </c>
      <c r="D30" s="22" t="inlineStr">
        <is>
          <t>Hong Kong</t>
        </is>
      </c>
      <c r="E30" s="20" t="inlineStr">
        <is>
          <t>Wholesaler</t>
        </is>
      </c>
      <c r="F30" s="20" t="inlineStr">
        <is>
          <t>C</t>
        </is>
      </c>
      <c r="G30" s="22" t="inlineStr">
        <is>
          <t>Buah &amp; sayur segar</t>
        </is>
      </c>
      <c r="H30" s="23" t="n"/>
      <c r="I30" s="23" t="inlineStr">
        <is>
          <t>wahkeefresh@yahoo.com.hk</t>
        </is>
      </c>
      <c r="J30" s="23" t="inlineStr">
        <is>
          <t>+852 2545 7182</t>
        </is>
      </c>
      <c r="K30" s="22" t="inlineStr">
        <is>
          <t>Stall C120, Western Wholesale Food Market, 8 Fung Mat Rd, Sai Wan, HK</t>
        </is>
      </c>
      <c r="L30" s="24" t="inlineStr">
        <is>
          <t>sourcing.hktdc.com</t>
        </is>
      </c>
      <c r="M30" s="20" t="inlineStr">
        <is>
          <t>Sedang</t>
        </is>
      </c>
      <c r="N30" s="25" t="inlineStr">
        <is>
          <t>Baru</t>
        </is>
      </c>
      <c r="O30" s="26" t="n"/>
      <c r="P30" s="23" t="n"/>
    </row>
    <row r="31" ht="47" customHeight="1">
      <c r="A31" s="20" t="n">
        <v>21</v>
      </c>
      <c r="B31" s="21" t="inlineStr">
        <is>
          <t>Al Yusra Foodstuff Trading LLC</t>
        </is>
      </c>
      <c r="C31" s="20" t="inlineStr">
        <is>
          <t>UAE</t>
        </is>
      </c>
      <c r="D31" s="22" t="inlineStr">
        <is>
          <t>Dubai</t>
        </is>
      </c>
      <c r="E31" s="20" t="inlineStr">
        <is>
          <t>Importir</t>
        </is>
      </c>
      <c r="F31" s="20" t="inlineStr">
        <is>
          <t>A</t>
        </is>
      </c>
      <c r="G31" s="22" t="inlineStr">
        <is>
          <t>Importir, distributor, commission agent buah &amp; sayur; lini eksotis</t>
        </is>
      </c>
      <c r="H31" s="23" t="n"/>
      <c r="I31" s="23" t="n"/>
      <c r="J31" s="23" t="inlineStr">
        <is>
          <t>+971 56 180 7028</t>
        </is>
      </c>
      <c r="K31" s="22" t="inlineStr">
        <is>
          <t>Office 20, GF, Khalifa Bldg, Street 14, Abu Hail, Dubai</t>
        </is>
      </c>
      <c r="L31" s="24" t="inlineStr">
        <is>
          <t>alyusrafoodstuff.com</t>
        </is>
      </c>
      <c r="M31" s="20" t="inlineStr">
        <is>
          <t>Sedang</t>
        </is>
      </c>
      <c r="N31" s="25" t="inlineStr">
        <is>
          <t>Baru</t>
        </is>
      </c>
      <c r="O31" s="26" t="n"/>
      <c r="P31" s="23" t="n"/>
    </row>
    <row r="32" ht="34" customHeight="1">
      <c r="A32" s="20" t="n">
        <v>22</v>
      </c>
      <c r="B32" s="21" t="inlineStr">
        <is>
          <t>Anusaya Fresh (Anusuya Fresh Fruits &amp; Vegetables LLC)</t>
        </is>
      </c>
      <c r="C32" s="20" t="inlineStr">
        <is>
          <t>UAE</t>
        </is>
      </c>
      <c r="D32" s="22" t="inlineStr">
        <is>
          <t>Dubai (Al Aweer)</t>
        </is>
      </c>
      <c r="E32" s="20" t="inlineStr">
        <is>
          <t>Importir</t>
        </is>
      </c>
      <c r="F32" s="20" t="inlineStr">
        <is>
          <t>A</t>
        </is>
      </c>
      <c r="G32" s="22" t="inlineStr">
        <is>
          <t>Apel, jeruk, anggur + eksotis: manggis, rambutan, buah naga</t>
        </is>
      </c>
      <c r="H32" s="23" t="n"/>
      <c r="I32" s="23" t="inlineStr">
        <is>
          <t>salesdxb@anusayafresh.com</t>
        </is>
      </c>
      <c r="J32" s="23" t="n"/>
      <c r="K32" s="22" t="inlineStr">
        <is>
          <t>Al Asmawi Warehouses, Warehouse No. 8, P.O. Box 10166, Al Aweer, Dubai</t>
        </is>
      </c>
      <c r="L32" s="24" t="inlineStr">
        <is>
          <t>anusayafresh.com</t>
        </is>
      </c>
      <c r="M32" s="20" t="inlineStr">
        <is>
          <t>Tinggi</t>
        </is>
      </c>
      <c r="N32" s="25" t="inlineStr">
        <is>
          <t>Baru</t>
        </is>
      </c>
      <c r="O32" s="26" t="n"/>
      <c r="P32" s="23" t="n"/>
    </row>
    <row r="33" ht="34" customHeight="1">
      <c r="A33" s="20" t="n">
        <v>23</v>
      </c>
      <c r="B33" s="21" t="inlineStr">
        <is>
          <t>Euto Foods Trading</t>
        </is>
      </c>
      <c r="C33" s="20" t="inlineStr">
        <is>
          <t>UAE</t>
        </is>
      </c>
      <c r="D33" s="22" t="inlineStr">
        <is>
          <t>Dubai</t>
        </is>
      </c>
      <c r="E33" s="20" t="inlineStr">
        <is>
          <t>Importir</t>
        </is>
      </c>
      <c r="F33" s="20" t="inlineStr">
        <is>
          <t>A</t>
        </is>
      </c>
      <c r="G33" s="22" t="inlineStr">
        <is>
          <t>Importir buah grosir; tropis termasuk manggis</t>
        </is>
      </c>
      <c r="H33" s="23" t="n"/>
      <c r="I33" s="23" t="n"/>
      <c r="J33" s="23" t="n"/>
      <c r="K33" s="22" t="n"/>
      <c r="L33" s="24" t="inlineStr">
        <is>
          <t>eutofoods.com</t>
        </is>
      </c>
      <c r="M33" s="20" t="inlineStr">
        <is>
          <t>-</t>
        </is>
      </c>
      <c r="N33" s="25" t="inlineStr">
        <is>
          <t>Baru</t>
        </is>
      </c>
      <c r="O33" s="26" t="n"/>
      <c r="P33" s="23" t="n"/>
    </row>
    <row r="34" ht="34" customHeight="1">
      <c r="A34" s="20" t="n">
        <v>24</v>
      </c>
      <c r="B34" s="21" t="inlineStr">
        <is>
          <t>Fresh Leaf UAE</t>
        </is>
      </c>
      <c r="C34" s="20" t="inlineStr">
        <is>
          <t>UAE</t>
        </is>
      </c>
      <c r="D34" s="22" t="inlineStr">
        <is>
          <t>Dubai</t>
        </is>
      </c>
      <c r="E34" s="20" t="inlineStr">
        <is>
          <t>Distributor</t>
        </is>
      </c>
      <c r="F34" s="20" t="inlineStr">
        <is>
          <t>A</t>
        </is>
      </c>
      <c r="G34" s="22" t="inlineStr">
        <is>
          <t>Kategori buah eksotis termasuk 'Mangosteen Indonesia'</t>
        </is>
      </c>
      <c r="H34" s="23" t="n"/>
      <c r="I34" s="23" t="n"/>
      <c r="J34" s="23" t="inlineStr">
        <is>
          <t>+971 55 446 6860</t>
        </is>
      </c>
      <c r="K34" s="22" t="inlineStr">
        <is>
          <t>Shop #13, Block #12, Fruits &amp; Vegetables Market, Al Aweer, Dubai</t>
        </is>
      </c>
      <c r="L34" s="24" t="inlineStr">
        <is>
          <t>freshleafuae.com</t>
        </is>
      </c>
      <c r="M34" s="20" t="inlineStr">
        <is>
          <t>Tinggi</t>
        </is>
      </c>
      <c r="N34" s="25" t="inlineStr">
        <is>
          <t>Baru</t>
        </is>
      </c>
      <c r="O34" s="26" t="n"/>
      <c r="P34" s="23" t="n"/>
    </row>
    <row r="35" ht="34" customHeight="1">
      <c r="A35" s="20" t="n">
        <v>25</v>
      </c>
      <c r="B35" s="21" t="inlineStr">
        <is>
          <t>Source International</t>
        </is>
      </c>
      <c r="C35" s="20" t="inlineStr">
        <is>
          <t>UAE</t>
        </is>
      </c>
      <c r="D35" s="22" t="inlineStr">
        <is>
          <t>Dubai</t>
        </is>
      </c>
      <c r="E35" s="20" t="inlineStr">
        <is>
          <t>Importir</t>
        </is>
      </c>
      <c r="F35" s="20" t="inlineStr">
        <is>
          <t>A</t>
        </is>
      </c>
      <c r="G35" s="22" t="inlineStr">
        <is>
          <t>Importir/distributor buah eksotis B2B</t>
        </is>
      </c>
      <c r="H35" s="23" t="n"/>
      <c r="I35" s="23" t="inlineStr">
        <is>
          <t>info@sourceinternational.ae</t>
        </is>
      </c>
      <c r="J35" s="23" t="inlineStr">
        <is>
          <t>+971 50 664 3592
+971 54 440 7354</t>
        </is>
      </c>
      <c r="K35" s="22" t="n"/>
      <c r="L35" s="24" t="inlineStr">
        <is>
          <t>sourceinternational.ae</t>
        </is>
      </c>
      <c r="M35" s="20" t="inlineStr">
        <is>
          <t>Tinggi</t>
        </is>
      </c>
      <c r="N35" s="25" t="inlineStr">
        <is>
          <t>Baru</t>
        </is>
      </c>
      <c r="O35" s="26" t="n"/>
      <c r="P35" s="23" t="n"/>
    </row>
    <row r="36" ht="34" customHeight="1">
      <c r="A36" s="20" t="n">
        <v>26</v>
      </c>
      <c r="B36" s="21" t="inlineStr">
        <is>
          <t>AlQatari Fruits Company W.L.L.</t>
        </is>
      </c>
      <c r="C36" s="20" t="inlineStr">
        <is>
          <t>Bahrain</t>
        </is>
      </c>
      <c r="D36" s="22" t="inlineStr">
        <is>
          <t>Manama</t>
        </is>
      </c>
      <c r="E36" s="20" t="inlineStr">
        <is>
          <t>Importir</t>
        </is>
      </c>
      <c r="F36" s="20" t="inlineStr">
        <is>
          <t>B</t>
        </is>
      </c>
      <c r="G36" s="22" t="inlineStr">
        <is>
          <t>Impor, re-ekspor, grosir buah &amp; sayur sejak 1943</t>
        </is>
      </c>
      <c r="H36" s="23" t="n"/>
      <c r="I36" s="23" t="inlineStr">
        <is>
          <t>alqatarifruits@batelco.com.bh
alqatarifruit@gmail.com</t>
        </is>
      </c>
      <c r="J36" s="23" t="n"/>
      <c r="K36" s="22" t="inlineStr">
        <is>
          <t>51 Block 314, Street 1404, Manama, Bahrain</t>
        </is>
      </c>
      <c r="L36" s="24" t="inlineStr">
        <is>
          <t>alqatarifruits.com</t>
        </is>
      </c>
      <c r="M36" s="20" t="inlineStr">
        <is>
          <t>Sedang</t>
        </is>
      </c>
      <c r="N36" s="25" t="inlineStr">
        <is>
          <t>Baru</t>
        </is>
      </c>
      <c r="O36" s="26" t="n"/>
      <c r="P36" s="23" t="n"/>
    </row>
    <row r="37" ht="34" customHeight="1">
      <c r="A37" s="20" t="n">
        <v>27</v>
      </c>
      <c r="B37" s="21" t="inlineStr">
        <is>
          <t>Suma Fruits International Co. WLL</t>
        </is>
      </c>
      <c r="C37" s="20" t="inlineStr">
        <is>
          <t>Kuwait</t>
        </is>
      </c>
      <c r="D37" s="22" t="inlineStr">
        <is>
          <t>Kuwait City (Ardhiya)</t>
        </is>
      </c>
      <c r="E37" s="20" t="inlineStr">
        <is>
          <t>Importir</t>
        </is>
      </c>
      <c r="F37" s="20" t="inlineStr">
        <is>
          <t>B</t>
        </is>
      </c>
      <c r="G37" s="22" t="inlineStr">
        <is>
          <t>Nanas, mangga, plum; asal Filipina/Vietnam/Sri Lanka</t>
        </is>
      </c>
      <c r="H37" s="23" t="n"/>
      <c r="I37" s="23" t="n"/>
      <c r="J37" s="23" t="inlineStr">
        <is>
          <t>+965 2226 6880</t>
        </is>
      </c>
      <c r="K37" s="22" t="n"/>
      <c r="L37" s="24" t="inlineStr">
        <is>
          <t>sumafruits.com</t>
        </is>
      </c>
      <c r="M37" s="20" t="inlineStr">
        <is>
          <t>Tinggi</t>
        </is>
      </c>
      <c r="N37" s="25" t="inlineStr">
        <is>
          <t>Baru</t>
        </is>
      </c>
      <c r="O37" s="26" t="n"/>
      <c r="P37" s="23" t="n"/>
    </row>
    <row r="38" ht="34" customHeight="1">
      <c r="A38" s="20" t="n">
        <v>28</v>
      </c>
      <c r="B38" s="21" t="inlineStr">
        <is>
          <t>Al Shahabi Trading Co.</t>
        </is>
      </c>
      <c r="C38" s="20" t="inlineStr">
        <is>
          <t>Qatar</t>
        </is>
      </c>
      <c r="D38" s="22" t="inlineStr">
        <is>
          <t>Doha</t>
        </is>
      </c>
      <c r="E38" s="20" t="inlineStr">
        <is>
          <t>Importir</t>
        </is>
      </c>
      <c r="F38" s="20" t="inlineStr">
        <is>
          <t>B</t>
        </is>
      </c>
      <c r="G38" s="22" t="inlineStr">
        <is>
          <t>Importir buah &amp; sayur, salah satu tertua di Qatar</t>
        </is>
      </c>
      <c r="H38" s="23" t="inlineStr">
        <is>
          <t>Mr. Ebrahim Alshahabi</t>
        </is>
      </c>
      <c r="I38" s="23" t="inlineStr">
        <is>
          <t>e.shahabi@alshahabifruits.com</t>
        </is>
      </c>
      <c r="J38" s="23" t="inlineStr">
        <is>
          <t>+974 4468 6557</t>
        </is>
      </c>
      <c r="K38" s="22" t="inlineStr">
        <is>
          <t>P.O. Box 5405, Logistic Park A, Al Wakra, Qatar</t>
        </is>
      </c>
      <c r="L38" s="24" t="inlineStr">
        <is>
          <t>alshahabifruits.com</t>
        </is>
      </c>
      <c r="M38" s="20" t="inlineStr">
        <is>
          <t>Tinggi</t>
        </is>
      </c>
      <c r="N38" s="25" t="inlineStr">
        <is>
          <t>Baru</t>
        </is>
      </c>
      <c r="O38" s="26" t="n"/>
      <c r="P38" s="23" t="n"/>
    </row>
    <row r="39" ht="34" customHeight="1">
      <c r="A39" s="20" t="n">
        <v>29</v>
      </c>
      <c r="B39" s="21" t="inlineStr">
        <is>
          <t>Royal Fresh Fruits</t>
        </is>
      </c>
      <c r="C39" s="20" t="inlineStr">
        <is>
          <t>Qatar</t>
        </is>
      </c>
      <c r="D39" s="22" t="inlineStr">
        <is>
          <t>Doha</t>
        </is>
      </c>
      <c r="E39" s="20" t="inlineStr">
        <is>
          <t>Wholesaler</t>
        </is>
      </c>
      <c r="F39" s="20" t="inlineStr">
        <is>
          <t>B</t>
        </is>
      </c>
      <c r="G39" s="22" t="inlineStr">
        <is>
          <t>Importir/grosir dari Eropa, Asia, Afrika, Australia</t>
        </is>
      </c>
      <c r="H39" s="23" t="n"/>
      <c r="I39" s="23" t="inlineStr">
        <is>
          <t>info@rff.qa</t>
        </is>
      </c>
      <c r="J39" s="23" t="n"/>
      <c r="K39" s="22" t="inlineStr">
        <is>
          <t>Industrial Area Street 37 &amp; Street 52, Doha, Qatar</t>
        </is>
      </c>
      <c r="L39" s="24" t="inlineStr">
        <is>
          <t>rff.qa</t>
        </is>
      </c>
      <c r="M39" s="20" t="inlineStr">
        <is>
          <t>Tinggi</t>
        </is>
      </c>
      <c r="N39" s="25" t="inlineStr">
        <is>
          <t>Baru</t>
        </is>
      </c>
      <c r="O39" s="26" t="n"/>
      <c r="P39" s="23" t="n"/>
    </row>
    <row r="40" ht="34" customHeight="1">
      <c r="A40" s="20" t="n">
        <v>30</v>
      </c>
      <c r="B40" s="21" t="inlineStr">
        <is>
          <t>World Fruits Centre</t>
        </is>
      </c>
      <c r="C40" s="20" t="inlineStr">
        <is>
          <t>Qatar</t>
        </is>
      </c>
      <c r="D40" s="22" t="inlineStr">
        <is>
          <t>Doha</t>
        </is>
      </c>
      <c r="E40" s="20" t="inlineStr">
        <is>
          <t>Importir</t>
        </is>
      </c>
      <c r="F40" s="20" t="inlineStr">
        <is>
          <t>B</t>
        </is>
      </c>
      <c r="G40" s="22" t="inlineStr">
        <is>
          <t>Importir buah &amp; sayur untuk hotel, food service, supermarket</t>
        </is>
      </c>
      <c r="H40" s="23" t="n"/>
      <c r="I40" s="23" t="inlineStr">
        <is>
          <t>info@wfc-qatar.com</t>
        </is>
      </c>
      <c r="J40" s="23" t="inlineStr">
        <is>
          <t>+974 4469 7714
4468 2285</t>
        </is>
      </c>
      <c r="K40" s="22" t="inlineStr">
        <is>
          <t>PO Box 9427, Um Sulal Ali, Doha, Qatar</t>
        </is>
      </c>
      <c r="L40" s="24" t="inlineStr">
        <is>
          <t>wfc-qatar.com</t>
        </is>
      </c>
      <c r="M40" s="20" t="inlineStr">
        <is>
          <t>Tinggi</t>
        </is>
      </c>
      <c r="N40" s="25" t="inlineStr">
        <is>
          <t>Baru</t>
        </is>
      </c>
      <c r="O40" s="26" t="n"/>
      <c r="P40" s="23" t="n"/>
    </row>
    <row r="41" ht="34" customHeight="1">
      <c r="A41" s="20" t="n">
        <v>31</v>
      </c>
      <c r="B41" s="21" t="inlineStr">
        <is>
          <t>AFDAN Company for Fruits and Vegetables Trading</t>
        </is>
      </c>
      <c r="C41" s="20" t="inlineStr">
        <is>
          <t>Saudi Arabia</t>
        </is>
      </c>
      <c r="D41" s="22" t="inlineStr">
        <is>
          <t>Riyadh</t>
        </is>
      </c>
      <c r="E41" s="20" t="inlineStr">
        <is>
          <t>Importir</t>
        </is>
      </c>
      <c r="F41" s="20" t="inlineStr">
        <is>
          <t>B</t>
        </is>
      </c>
      <c r="G41" s="22" t="inlineStr">
        <is>
          <t>Pengadaan/impor global buah &amp; sayur</t>
        </is>
      </c>
      <c r="H41" s="23" t="n"/>
      <c r="I41" s="23" t="inlineStr">
        <is>
          <t>info@afdan.sa</t>
        </is>
      </c>
      <c r="J41" s="23" t="inlineStr">
        <is>
          <t>+966 50 537 8670</t>
        </is>
      </c>
      <c r="K41" s="22" t="inlineStr">
        <is>
          <t>Riyadh, Saudi Arabia</t>
        </is>
      </c>
      <c r="L41" s="24" t="inlineStr">
        <is>
          <t>afdan.sa</t>
        </is>
      </c>
      <c r="M41" s="20" t="inlineStr">
        <is>
          <t>Tinggi</t>
        </is>
      </c>
      <c r="N41" s="25" t="inlineStr">
        <is>
          <t>Baru</t>
        </is>
      </c>
      <c r="O41" s="26" t="n"/>
      <c r="P41" s="23" t="n"/>
    </row>
    <row r="42" ht="47" customHeight="1">
      <c r="A42" s="20" t="n">
        <v>32</v>
      </c>
      <c r="B42" s="21" t="inlineStr">
        <is>
          <t>BlissBerrys</t>
        </is>
      </c>
      <c r="C42" s="20" t="inlineStr">
        <is>
          <t>Saudi Arabia</t>
        </is>
      </c>
      <c r="D42" s="22" t="inlineStr">
        <is>
          <t>Riyadh/Jeddah/Dammam</t>
        </is>
      </c>
      <c r="E42" s="20" t="inlineStr">
        <is>
          <t>Distributor</t>
        </is>
      </c>
      <c r="F42" s="20" t="inlineStr">
        <is>
          <t>B</t>
        </is>
      </c>
      <c r="G42" s="22" t="inlineStr">
        <is>
          <t>Alpukat, mangga, nanas, beri, jeruk ke supermarket &amp; HoReCa</t>
        </is>
      </c>
      <c r="H42" s="23" t="n"/>
      <c r="I42" s="23" t="inlineStr">
        <is>
          <t>Office@blissberrys.com</t>
        </is>
      </c>
      <c r="J42" s="23" t="inlineStr">
        <is>
          <t>+966 11 269 7137
+966 55 029 7817
+966 55 097 4991</t>
        </is>
      </c>
      <c r="K42" s="22" t="n"/>
      <c r="L42" s="24" t="inlineStr">
        <is>
          <t>blissberrys.com</t>
        </is>
      </c>
      <c r="M42" s="20" t="inlineStr">
        <is>
          <t>Tinggi</t>
        </is>
      </c>
      <c r="N42" s="25" t="inlineStr">
        <is>
          <t>Baru</t>
        </is>
      </c>
      <c r="O42" s="26" t="n"/>
      <c r="P42" s="23" t="n"/>
    </row>
    <row r="43" ht="34" customHeight="1">
      <c r="A43" s="20" t="n">
        <v>33</v>
      </c>
      <c r="B43" s="21" t="inlineStr">
        <is>
          <t>Sharbatly Fruit</t>
        </is>
      </c>
      <c r="C43" s="20" t="inlineStr">
        <is>
          <t>Saudi Arabia</t>
        </is>
      </c>
      <c r="D43" s="22" t="inlineStr">
        <is>
          <t>Jeddah</t>
        </is>
      </c>
      <c r="E43" s="20" t="inlineStr">
        <is>
          <t>Importir</t>
        </is>
      </c>
      <c r="F43" s="20" t="inlineStr">
        <is>
          <t>B</t>
        </is>
      </c>
      <c r="G43" s="22" t="inlineStr">
        <is>
          <t>Importir/distributor produk segar premium sejak 1930-an</t>
        </is>
      </c>
      <c r="H43" s="23" t="n"/>
      <c r="I43" s="23" t="inlineStr">
        <is>
          <t>info@sharbatly.com</t>
        </is>
      </c>
      <c r="J43" s="23" t="inlineStr">
        <is>
          <t>+966 12 679 0000</t>
        </is>
      </c>
      <c r="K43" s="22" t="n"/>
      <c r="L43" s="24" t="inlineStr">
        <is>
          <t>sharbatlyfruit.com</t>
        </is>
      </c>
      <c r="M43" s="20" t="inlineStr">
        <is>
          <t>Tinggi</t>
        </is>
      </c>
      <c r="N43" s="25" t="inlineStr">
        <is>
          <t>Baru</t>
        </is>
      </c>
      <c r="O43" s="26" t="n"/>
      <c r="P43" s="23" t="n"/>
    </row>
    <row r="44" ht="34" customHeight="1">
      <c r="A44" s="20" t="n">
        <v>34</v>
      </c>
      <c r="B44" s="21" t="inlineStr">
        <is>
          <t>Shrayan Al Jazeera Fruits &amp; Vegetables Trading</t>
        </is>
      </c>
      <c r="C44" s="20" t="inlineStr">
        <is>
          <t>Saudi Arabia</t>
        </is>
      </c>
      <c r="D44" s="22" t="inlineStr">
        <is>
          <t>Jeddah</t>
        </is>
      </c>
      <c r="E44" s="20" t="inlineStr">
        <is>
          <t>Importir</t>
        </is>
      </c>
      <c r="F44" s="20" t="inlineStr">
        <is>
          <t>B</t>
        </is>
      </c>
      <c r="G44" s="22" t="inlineStr">
        <is>
          <t>Impor/ekspor buah &amp; sayur sejak 2009</t>
        </is>
      </c>
      <c r="H44" s="23" t="n"/>
      <c r="I44" s="23" t="inlineStr">
        <is>
          <t>info@shrayanaljazeera.com</t>
        </is>
      </c>
      <c r="J44" s="23" t="n"/>
      <c r="K44" s="22" t="inlineStr">
        <is>
          <t>Panorama Centre, Office 5, Umm Al Qura Street, Safa, Jeddah, Saudi Arabia</t>
        </is>
      </c>
      <c r="L44" s="24" t="inlineStr">
        <is>
          <t>shrayanaljazeera.com</t>
        </is>
      </c>
      <c r="M44" s="20" t="inlineStr">
        <is>
          <t>Tinggi</t>
        </is>
      </c>
      <c r="N44" s="25" t="inlineStr">
        <is>
          <t>Baru</t>
        </is>
      </c>
      <c r="O44" s="26" t="n"/>
      <c r="P44" s="23" t="n"/>
    </row>
    <row r="45" ht="47" customHeight="1">
      <c r="A45" s="20" t="n">
        <v>35</v>
      </c>
      <c r="B45" s="21" t="inlineStr">
        <is>
          <t>AJMEER General Trading LLC</t>
        </is>
      </c>
      <c r="C45" s="20" t="inlineStr">
        <is>
          <t>UAE</t>
        </is>
      </c>
      <c r="D45" s="22" t="inlineStr">
        <is>
          <t>Dubai (Al Aweer)</t>
        </is>
      </c>
      <c r="E45" s="20" t="inlineStr">
        <is>
          <t>Importir</t>
        </is>
      </c>
      <c r="F45" s="20" t="inlineStr">
        <is>
          <t>B</t>
        </is>
      </c>
      <c r="G45" s="22" t="inlineStr">
        <is>
          <t>Impor buah &amp; sayur dari Asia, Eropa, Afrika; suplai hotel &amp; ritel</t>
        </is>
      </c>
      <c r="H45" s="23" t="n"/>
      <c r="I45" s="23" t="inlineStr">
        <is>
          <t>mail@ajmeer.ae</t>
        </is>
      </c>
      <c r="J45" s="23" t="inlineStr">
        <is>
          <t>+971 4 438 5061</t>
        </is>
      </c>
      <c r="K45" s="22" t="inlineStr">
        <is>
          <t>Al Aweer Central Fruits &amp; Vegetables Market; P.O. Box 234276, Dubai</t>
        </is>
      </c>
      <c r="L45" s="24" t="inlineStr">
        <is>
          <t>ajmeer.ae</t>
        </is>
      </c>
      <c r="M45" s="20" t="inlineStr">
        <is>
          <t>Tinggi</t>
        </is>
      </c>
      <c r="N45" s="25" t="inlineStr">
        <is>
          <t>Baru</t>
        </is>
      </c>
      <c r="O45" s="26" t="n"/>
      <c r="P45" s="23" t="n"/>
    </row>
    <row r="46" ht="47" customHeight="1">
      <c r="A46" s="20" t="n">
        <v>36</v>
      </c>
      <c r="B46" s="21" t="inlineStr">
        <is>
          <t>Barakat Vegetables &amp; Fruits Co. LLC</t>
        </is>
      </c>
      <c r="C46" s="20" t="inlineStr">
        <is>
          <t>UAE</t>
        </is>
      </c>
      <c r="D46" s="22" t="inlineStr">
        <is>
          <t>Dubai (Al Aweer)</t>
        </is>
      </c>
      <c r="E46" s="20" t="inlineStr">
        <is>
          <t>Distributor</t>
        </is>
      </c>
      <c r="F46" s="20" t="inlineStr">
        <is>
          <t>B</t>
        </is>
      </c>
      <c r="G46" s="22" t="inlineStr">
        <is>
          <t>Importir/distributor besar (53+ negara asal); HoReCa, ritel</t>
        </is>
      </c>
      <c r="H46" s="23" t="n"/>
      <c r="I46" s="23" t="inlineStr">
        <is>
          <t>contact@barakatuae.ae</t>
        </is>
      </c>
      <c r="J46" s="23" t="inlineStr">
        <is>
          <t>800 2272 528</t>
        </is>
      </c>
      <c r="K46" s="22" t="inlineStr">
        <is>
          <t>Shop 27/A, Wholesale Bldg 2, Central Fruits &amp; Vegetables Market, Al Aweer, PO Box 11286, Dubai</t>
        </is>
      </c>
      <c r="L46" s="24" t="inlineStr">
        <is>
          <t>barakatgroup.ae</t>
        </is>
      </c>
      <c r="M46" s="20" t="inlineStr">
        <is>
          <t>Tinggi</t>
        </is>
      </c>
      <c r="N46" s="25" t="inlineStr">
        <is>
          <t>Baru</t>
        </is>
      </c>
      <c r="O46" s="26" t="n"/>
      <c r="P46" s="23" t="n"/>
    </row>
    <row r="47" ht="34" customHeight="1">
      <c r="A47" s="20" t="n">
        <v>37</v>
      </c>
      <c r="B47" s="21" t="inlineStr">
        <is>
          <t>Fresh Avenue Foodstuff Trading LLC</t>
        </is>
      </c>
      <c r="C47" s="20" t="inlineStr">
        <is>
          <t>UAE</t>
        </is>
      </c>
      <c r="D47" s="22" t="inlineStr">
        <is>
          <t>Dubai (Al Aweer)</t>
        </is>
      </c>
      <c r="E47" s="20" t="inlineStr">
        <is>
          <t>Wholesaler</t>
        </is>
      </c>
      <c r="F47" s="20" t="inlineStr">
        <is>
          <t>B</t>
        </is>
      </c>
      <c r="G47" s="22" t="inlineStr">
        <is>
          <t>Grosir buah &amp; sayur, termasuk rambutan</t>
        </is>
      </c>
      <c r="H47" s="23" t="n"/>
      <c r="I47" s="23" t="inlineStr">
        <is>
          <t>freshavenue.dxb@gmail.com</t>
        </is>
      </c>
      <c r="J47" s="23" t="inlineStr">
        <is>
          <t>+971 54 177 0064
+971 54 181 3596</t>
        </is>
      </c>
      <c r="K47" s="22" t="inlineStr">
        <is>
          <t>Al Aweer Central Fruit &amp; Vegetable Market, Dubai</t>
        </is>
      </c>
      <c r="L47" s="24" t="inlineStr">
        <is>
          <t>freshavenuefoodstufftradingllc.com</t>
        </is>
      </c>
      <c r="M47" s="20" t="inlineStr">
        <is>
          <t>Tinggi</t>
        </is>
      </c>
      <c r="N47" s="25" t="inlineStr">
        <is>
          <t>Baru</t>
        </is>
      </c>
      <c r="O47" s="26" t="n"/>
      <c r="P47" s="23" t="n"/>
    </row>
    <row r="48" ht="34" customHeight="1">
      <c r="A48" s="20" t="n">
        <v>38</v>
      </c>
      <c r="B48" s="21" t="inlineStr">
        <is>
          <t>Kibsons</t>
        </is>
      </c>
      <c r="C48" s="20" t="inlineStr">
        <is>
          <t>UAE</t>
        </is>
      </c>
      <c r="D48" s="22" t="inlineStr">
        <is>
          <t>Dubai (Al Aweer)</t>
        </is>
      </c>
      <c r="E48" s="20" t="inlineStr">
        <is>
          <t>E-commerce</t>
        </is>
      </c>
      <c r="F48" s="20" t="inlineStr">
        <is>
          <t>B</t>
        </is>
      </c>
      <c r="G48" s="22" t="inlineStr">
        <is>
          <t>Grocery online dengan kategori buah eksotis</t>
        </is>
      </c>
      <c r="H48" s="23" t="n"/>
      <c r="I48" s="23" t="inlineStr">
        <is>
          <t>customercare@kibsons.com</t>
        </is>
      </c>
      <c r="J48" s="23" t="inlineStr">
        <is>
          <t>800 KIBSONS (800 5427667)</t>
        </is>
      </c>
      <c r="K48" s="22" t="inlineStr">
        <is>
          <t>Manama Street, Ras Al Khor 2, Dubai; PO Box 5313, Dubai, UAE</t>
        </is>
      </c>
      <c r="L48" s="24" t="inlineStr">
        <is>
          <t>kibsons.com</t>
        </is>
      </c>
      <c r="M48" s="20" t="inlineStr">
        <is>
          <t>Tinggi</t>
        </is>
      </c>
      <c r="N48" s="25" t="inlineStr">
        <is>
          <t>Baru</t>
        </is>
      </c>
      <c r="O48" s="26" t="n"/>
      <c r="P48" s="23" t="n"/>
    </row>
    <row r="49" ht="34" customHeight="1">
      <c r="A49" s="20" t="n">
        <v>39</v>
      </c>
      <c r="B49" s="21" t="inlineStr">
        <is>
          <t>MPF Foodstuff Trading (Meridian PF)</t>
        </is>
      </c>
      <c r="C49" s="20" t="inlineStr">
        <is>
          <t>UAE</t>
        </is>
      </c>
      <c r="D49" s="22" t="inlineStr">
        <is>
          <t>Dubai</t>
        </is>
      </c>
      <c r="E49" s="20" t="inlineStr">
        <is>
          <t>Distributor</t>
        </is>
      </c>
      <c r="F49" s="20" t="inlineStr">
        <is>
          <t>B</t>
        </is>
      </c>
      <c r="G49" s="22" t="inlineStr">
        <is>
          <t>Buah musiman &amp; eksotis</t>
        </is>
      </c>
      <c r="H49" s="23" t="n"/>
      <c r="I49" s="23" t="inlineStr">
        <is>
          <t>Purchase@meridianpf.com</t>
        </is>
      </c>
      <c r="J49" s="23" t="inlineStr">
        <is>
          <t>+971 4 564 4106</t>
        </is>
      </c>
      <c r="K49" s="22" t="inlineStr">
        <is>
          <t>Warehouse #21, Warsan 1, Dubai, PO Box 455012</t>
        </is>
      </c>
      <c r="L49" s="24" t="inlineStr">
        <is>
          <t>meridianpf.com</t>
        </is>
      </c>
      <c r="M49" s="20" t="inlineStr">
        <is>
          <t>Tinggi</t>
        </is>
      </c>
      <c r="N49" s="25" t="inlineStr">
        <is>
          <t>Baru</t>
        </is>
      </c>
      <c r="O49" s="26" t="n"/>
      <c r="P49" s="23" t="n"/>
    </row>
    <row r="50" ht="34" customHeight="1">
      <c r="A50" s="20" t="n">
        <v>40</v>
      </c>
      <c r="B50" s="21" t="inlineStr">
        <is>
          <t>Shabab Al Aweer Foodstuff Trading L.L.C.</t>
        </is>
      </c>
      <c r="C50" s="20" t="inlineStr">
        <is>
          <t>UAE</t>
        </is>
      </c>
      <c r="D50" s="22" t="inlineStr">
        <is>
          <t>Dubai (Al Aweer)</t>
        </is>
      </c>
      <c r="E50" s="20" t="inlineStr">
        <is>
          <t>Importir</t>
        </is>
      </c>
      <c r="F50" s="20" t="inlineStr">
        <is>
          <t>B</t>
        </is>
      </c>
      <c r="G50" s="22" t="inlineStr">
        <is>
          <t>Impor/ekspor dan suplai buah &amp; sayur</t>
        </is>
      </c>
      <c r="H50" s="23" t="n"/>
      <c r="I50" s="23" t="n"/>
      <c r="J50" s="23" t="n"/>
      <c r="K50" s="22" t="inlineStr">
        <is>
          <t>Shop 23, Block 6, Fruits &amp; Vegetables Market, Al Aweer, Dubai</t>
        </is>
      </c>
      <c r="L50" s="24" t="inlineStr">
        <is>
          <t>shababalaweer.ae</t>
        </is>
      </c>
      <c r="M50" s="20" t="inlineStr">
        <is>
          <t>Tinggi</t>
        </is>
      </c>
      <c r="N50" s="25" t="inlineStr">
        <is>
          <t>Baru</t>
        </is>
      </c>
      <c r="O50" s="26" t="n"/>
      <c r="P50" s="23" t="n"/>
    </row>
    <row r="51" ht="34" customHeight="1">
      <c r="A51" s="20" t="n">
        <v>41</v>
      </c>
      <c r="B51" s="21" t="inlineStr">
        <is>
          <t>Alghanim Sons Group – Fresh Produce</t>
        </is>
      </c>
      <c r="C51" s="20" t="inlineStr">
        <is>
          <t>Kuwait</t>
        </is>
      </c>
      <c r="D51" s="22" t="inlineStr">
        <is>
          <t>Kuwait City</t>
        </is>
      </c>
      <c r="E51" s="20" t="inlineStr">
        <is>
          <t>Importir</t>
        </is>
      </c>
      <c r="F51" s="20" t="inlineStr">
        <is>
          <t>C</t>
        </is>
      </c>
      <c r="G51" s="22" t="inlineStr">
        <is>
          <t>Divisi impor/distribusi produk segar</t>
        </is>
      </c>
      <c r="H51" s="23" t="n"/>
      <c r="I51" s="23" t="inlineStr">
        <is>
          <t>info@alghanimsons.com</t>
        </is>
      </c>
      <c r="J51" s="23" t="inlineStr">
        <is>
          <t>+965 2228 2830</t>
        </is>
      </c>
      <c r="K51" s="22" t="inlineStr">
        <is>
          <t>Safat 13097, Kuwait</t>
        </is>
      </c>
      <c r="L51" s="24" t="inlineStr">
        <is>
          <t>alghanimsons.com</t>
        </is>
      </c>
      <c r="M51" s="20" t="inlineStr">
        <is>
          <t>Tinggi</t>
        </is>
      </c>
      <c r="N51" s="25" t="inlineStr">
        <is>
          <t>Baru</t>
        </is>
      </c>
      <c r="O51" s="26" t="n"/>
      <c r="P51" s="23" t="n"/>
    </row>
    <row r="52" ht="34" customHeight="1">
      <c r="A52" s="20" t="n">
        <v>42</v>
      </c>
      <c r="B52" s="21" t="inlineStr">
        <is>
          <t>Fresh Fruit Oman</t>
        </is>
      </c>
      <c r="C52" s="20" t="inlineStr">
        <is>
          <t>Oman</t>
        </is>
      </c>
      <c r="D52" s="22" t="inlineStr">
        <is>
          <t>Muscat</t>
        </is>
      </c>
      <c r="E52" s="20" t="inlineStr">
        <is>
          <t>Importir</t>
        </is>
      </c>
      <c r="F52" s="20" t="inlineStr">
        <is>
          <t>C</t>
        </is>
      </c>
      <c r="G52" s="22" t="inlineStr">
        <is>
          <t>Importir, grosir, manajemen ritel buah &amp; sayur</t>
        </is>
      </c>
      <c r="H52" s="23" t="n"/>
      <c r="I52" s="23" t="n"/>
      <c r="J52" s="23" t="n"/>
      <c r="K52" s="22" t="inlineStr">
        <is>
          <t>Mawaleh Central Market, Muscat, Oman (pasar pindah ke Khazaen 2024)</t>
        </is>
      </c>
      <c r="L52" s="24" t="inlineStr">
        <is>
          <t>freshfruitoman.com</t>
        </is>
      </c>
      <c r="M52" s="20" t="inlineStr">
        <is>
          <t>Tinggi</t>
        </is>
      </c>
      <c r="N52" s="25" t="inlineStr">
        <is>
          <t>Baru</t>
        </is>
      </c>
      <c r="O52" s="26" t="n"/>
      <c r="P52" s="23" t="n"/>
    </row>
    <row r="53" ht="30" customHeight="1">
      <c r="A53" s="20" t="n">
        <v>43</v>
      </c>
      <c r="B53" s="21" t="inlineStr">
        <is>
          <t>Redcolt Trading</t>
        </is>
      </c>
      <c r="C53" s="20" t="inlineStr">
        <is>
          <t>Qatar</t>
        </is>
      </c>
      <c r="D53" s="22" t="inlineStr">
        <is>
          <t>Doha</t>
        </is>
      </c>
      <c r="E53" s="20" t="inlineStr">
        <is>
          <t>Importir</t>
        </is>
      </c>
      <c r="F53" s="20" t="inlineStr">
        <is>
          <t>C</t>
        </is>
      </c>
      <c r="G53" s="22" t="inlineStr">
        <is>
          <t>Buah, sayur, produk makanan</t>
        </is>
      </c>
      <c r="H53" s="23" t="n"/>
      <c r="I53" s="23" t="n"/>
      <c r="J53" s="23" t="n"/>
      <c r="K53" s="22" t="n"/>
      <c r="L53" s="24" t="inlineStr">
        <is>
          <t>redcoltqatar.com</t>
        </is>
      </c>
      <c r="M53" s="20" t="inlineStr">
        <is>
          <t>-</t>
        </is>
      </c>
      <c r="N53" s="25" t="inlineStr">
        <is>
          <t>Baru</t>
        </is>
      </c>
      <c r="O53" s="26" t="n"/>
      <c r="P53" s="23" t="n"/>
    </row>
    <row r="54" ht="47" customHeight="1">
      <c r="A54" s="20" t="n">
        <v>44</v>
      </c>
      <c r="B54" s="21" t="inlineStr">
        <is>
          <t>Tamimi Markets</t>
        </is>
      </c>
      <c r="C54" s="20" t="inlineStr">
        <is>
          <t>Saudi Arabia</t>
        </is>
      </c>
      <c r="D54" s="22" t="inlineStr">
        <is>
          <t>Al Khobar</t>
        </is>
      </c>
      <c r="E54" s="20" t="inlineStr">
        <is>
          <t>Retail/Supermarket</t>
        </is>
      </c>
      <c r="F54" s="20" t="inlineStr">
        <is>
          <t>C</t>
        </is>
      </c>
      <c r="G54" s="22" t="inlineStr">
        <is>
          <t>Supermarket premium, impor langsung</t>
        </is>
      </c>
      <c r="H54" s="23" t="n"/>
      <c r="I54" s="23" t="inlineStr">
        <is>
          <t>customerservice@tamimimarkets.com</t>
        </is>
      </c>
      <c r="J54" s="23" t="inlineStr">
        <is>
          <t>+966 13 831 5100
CS 800 303 0010</t>
        </is>
      </c>
      <c r="K54" s="22" t="inlineStr">
        <is>
          <t>7107 King Fahd Bin Abdulaziz Rd, Al Rakah Al Janubiyah, Al Khobar 34227, Saudi Arabia</t>
        </is>
      </c>
      <c r="L54" s="24" t="inlineStr">
        <is>
          <t>tamimimarkets.com</t>
        </is>
      </c>
      <c r="M54" s="20" t="inlineStr">
        <is>
          <t>Tinggi</t>
        </is>
      </c>
      <c r="N54" s="25" t="inlineStr">
        <is>
          <t>Baru</t>
        </is>
      </c>
      <c r="O54" s="26" t="n"/>
      <c r="P54" s="23" t="n"/>
    </row>
    <row r="55" ht="34" customHeight="1">
      <c r="A55" s="20" t="n">
        <v>45</v>
      </c>
      <c r="B55" s="21" t="inlineStr">
        <is>
          <t>Al Maya Group (Al Maya Supermarkets)</t>
        </is>
      </c>
      <c r="C55" s="20" t="inlineStr">
        <is>
          <t>UAE</t>
        </is>
      </c>
      <c r="D55" s="22" t="inlineStr">
        <is>
          <t>Dubai</t>
        </is>
      </c>
      <c r="E55" s="20" t="inlineStr">
        <is>
          <t>Retail/Supermarket</t>
        </is>
      </c>
      <c r="F55" s="20" t="inlineStr">
        <is>
          <t>C</t>
        </is>
      </c>
      <c r="G55" s="22" t="inlineStr">
        <is>
          <t>Rantai supermarket (±40 gerai UAE)</t>
        </is>
      </c>
      <c r="H55" s="23" t="n"/>
      <c r="I55" s="23" t="inlineStr">
        <is>
          <t>info@almaya.ae</t>
        </is>
      </c>
      <c r="J55" s="23" t="inlineStr">
        <is>
          <t>+971 4 823 0000</t>
        </is>
      </c>
      <c r="K55" s="22" t="inlineStr">
        <is>
          <t>National Industries Park, Jebel Ali-3, Dubai, PO Box 8476, UAE</t>
        </is>
      </c>
      <c r="L55" s="24" t="inlineStr">
        <is>
          <t>almaya.ae</t>
        </is>
      </c>
      <c r="M55" s="20" t="inlineStr">
        <is>
          <t>Tinggi</t>
        </is>
      </c>
      <c r="N55" s="25" t="inlineStr">
        <is>
          <t>Baru</t>
        </is>
      </c>
      <c r="O55" s="26" t="n"/>
      <c r="P55" s="23" t="n"/>
    </row>
  </sheetData>
  <mergeCells count="21">
    <mergeCell ref="F4:G4"/>
    <mergeCell ref="O7:P7"/>
    <mergeCell ref="J5:K5"/>
    <mergeCell ref="L5:N5"/>
    <mergeCell ref="B8:P8"/>
    <mergeCell ref="H4:I4"/>
    <mergeCell ref="L4:N4"/>
    <mergeCell ref="F7:G7"/>
    <mergeCell ref="O5:P5"/>
    <mergeCell ref="F5:G5"/>
    <mergeCell ref="C7:E7"/>
    <mergeCell ref="O4:P4"/>
    <mergeCell ref="J4:K4"/>
    <mergeCell ref="A1:P1"/>
    <mergeCell ref="H7:I7"/>
    <mergeCell ref="J7:K7"/>
    <mergeCell ref="L7:N7"/>
    <mergeCell ref="C5:E5"/>
    <mergeCell ref="C4:E4"/>
    <mergeCell ref="H5:I5"/>
    <mergeCell ref="A2:P2"/>
  </mergeCells>
  <conditionalFormatting sqref="F11:F255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M11:M255">
    <cfRule type="cellIs" priority="4" operator="equal" dxfId="3">
      <formula>"Tinggi"</formula>
    </cfRule>
    <cfRule type="cellIs" priority="5" operator="equal" dxfId="4">
      <formula>"Sedang"</formula>
    </cfRule>
  </conditionalFormatting>
  <conditionalFormatting sqref="N11:N255">
    <cfRule type="cellIs" priority="6" operator="equal" dxfId="0">
      <formula>"Deal"</formula>
    </cfRule>
  </conditionalFormatting>
  <conditionalFormatting sqref="O11:O255">
    <cfRule type="expression" priority="7" dxfId="5">
      <formula>AND(O11&lt;&gt;"",O11&lt;=TODAY(),N11&lt;&gt;"Deal",N11&lt;&gt;"Tidak Tertarik")</formula>
    </cfRule>
  </conditionalFormatting>
  <dataValidations count="4">
    <dataValidation sqref="N11:N255" showDropDown="0" showInputMessage="0" showErrorMessage="0" allowBlank="1" type="list">
      <formula1>"Baru,Dihubungi,Negosiasi,Kirim Sampel,Deal,Tidak Tertarik"</formula1>
    </dataValidation>
    <dataValidation sqref="F11:F255" showDropDown="0" showInputMessage="0" showErrorMessage="0" allowBlank="1" type="list">
      <formula1>"A,B,C"</formula1>
    </dataValidation>
    <dataValidation sqref="E11:E255" showDropDown="0" showInputMessage="0" showErrorMessage="0" allowBlank="1" type="list">
      <formula1>"Importir,Distributor,Wholesaler,Retail/Supermarket,E-commerce"</formula1>
    </dataValidation>
    <dataValidation sqref="M11:M255" showDropDown="0" showInputMessage="0" showErrorMessage="0" allowBlank="1" type="list">
      <formula1>"Tinggi,Sedang,-"</formula1>
    </dataValidation>
  </dataValidations>
  <hyperlinks>
    <hyperlink xmlns:r="http://schemas.openxmlformats.org/officeDocument/2006/relationships" ref="L11" r:id="rId1"/>
    <hyperlink xmlns:r="http://schemas.openxmlformats.org/officeDocument/2006/relationships" ref="L12" r:id="rId2"/>
    <hyperlink xmlns:r="http://schemas.openxmlformats.org/officeDocument/2006/relationships" ref="L13" r:id="rId3"/>
    <hyperlink xmlns:r="http://schemas.openxmlformats.org/officeDocument/2006/relationships" ref="L14" r:id="rId4"/>
    <hyperlink xmlns:r="http://schemas.openxmlformats.org/officeDocument/2006/relationships" ref="L15" r:id="rId5"/>
    <hyperlink xmlns:r="http://schemas.openxmlformats.org/officeDocument/2006/relationships" ref="L16" r:id="rId6"/>
    <hyperlink xmlns:r="http://schemas.openxmlformats.org/officeDocument/2006/relationships" ref="L17" r:id="rId7"/>
    <hyperlink xmlns:r="http://schemas.openxmlformats.org/officeDocument/2006/relationships" ref="L18" r:id="rId8"/>
    <hyperlink xmlns:r="http://schemas.openxmlformats.org/officeDocument/2006/relationships" ref="L19" r:id="rId9"/>
    <hyperlink xmlns:r="http://schemas.openxmlformats.org/officeDocument/2006/relationships" ref="L20" r:id="rId10"/>
    <hyperlink xmlns:r="http://schemas.openxmlformats.org/officeDocument/2006/relationships" ref="L21" r:id="rId11"/>
    <hyperlink xmlns:r="http://schemas.openxmlformats.org/officeDocument/2006/relationships" ref="L22" r:id="rId12"/>
    <hyperlink xmlns:r="http://schemas.openxmlformats.org/officeDocument/2006/relationships" ref="L23" r:id="rId13"/>
    <hyperlink xmlns:r="http://schemas.openxmlformats.org/officeDocument/2006/relationships" ref="L24" r:id="rId14"/>
    <hyperlink xmlns:r="http://schemas.openxmlformats.org/officeDocument/2006/relationships" ref="L25" r:id="rId15"/>
    <hyperlink xmlns:r="http://schemas.openxmlformats.org/officeDocument/2006/relationships" ref="L26" r:id="rId16"/>
    <hyperlink xmlns:r="http://schemas.openxmlformats.org/officeDocument/2006/relationships" ref="L27" r:id="rId17"/>
    <hyperlink xmlns:r="http://schemas.openxmlformats.org/officeDocument/2006/relationships" ref="L28" r:id="rId18"/>
    <hyperlink xmlns:r="http://schemas.openxmlformats.org/officeDocument/2006/relationships" ref="L29" r:id="rId19"/>
    <hyperlink xmlns:r="http://schemas.openxmlformats.org/officeDocument/2006/relationships" ref="L30" r:id="rId20"/>
    <hyperlink xmlns:r="http://schemas.openxmlformats.org/officeDocument/2006/relationships" ref="L31" r:id="rId21"/>
    <hyperlink xmlns:r="http://schemas.openxmlformats.org/officeDocument/2006/relationships" ref="L32" r:id="rId22"/>
    <hyperlink xmlns:r="http://schemas.openxmlformats.org/officeDocument/2006/relationships" ref="L33" r:id="rId23"/>
    <hyperlink xmlns:r="http://schemas.openxmlformats.org/officeDocument/2006/relationships" ref="L34" r:id="rId24"/>
    <hyperlink xmlns:r="http://schemas.openxmlformats.org/officeDocument/2006/relationships" ref="L35" r:id="rId25"/>
    <hyperlink xmlns:r="http://schemas.openxmlformats.org/officeDocument/2006/relationships" ref="L36" r:id="rId26"/>
    <hyperlink xmlns:r="http://schemas.openxmlformats.org/officeDocument/2006/relationships" ref="L37" r:id="rId27"/>
    <hyperlink xmlns:r="http://schemas.openxmlformats.org/officeDocument/2006/relationships" ref="L38" r:id="rId28"/>
    <hyperlink xmlns:r="http://schemas.openxmlformats.org/officeDocument/2006/relationships" ref="L39" r:id="rId29"/>
    <hyperlink xmlns:r="http://schemas.openxmlformats.org/officeDocument/2006/relationships" ref="L40" r:id="rId30"/>
    <hyperlink xmlns:r="http://schemas.openxmlformats.org/officeDocument/2006/relationships" ref="L41" r:id="rId31"/>
    <hyperlink xmlns:r="http://schemas.openxmlformats.org/officeDocument/2006/relationships" ref="L42" r:id="rId32"/>
    <hyperlink xmlns:r="http://schemas.openxmlformats.org/officeDocument/2006/relationships" ref="L43" r:id="rId33"/>
    <hyperlink xmlns:r="http://schemas.openxmlformats.org/officeDocument/2006/relationships" ref="L44" r:id="rId34"/>
    <hyperlink xmlns:r="http://schemas.openxmlformats.org/officeDocument/2006/relationships" ref="L45" r:id="rId35"/>
    <hyperlink xmlns:r="http://schemas.openxmlformats.org/officeDocument/2006/relationships" ref="L46" r:id="rId36"/>
    <hyperlink xmlns:r="http://schemas.openxmlformats.org/officeDocument/2006/relationships" ref="L47" r:id="rId37"/>
    <hyperlink xmlns:r="http://schemas.openxmlformats.org/officeDocument/2006/relationships" ref="L48" r:id="rId38"/>
    <hyperlink xmlns:r="http://schemas.openxmlformats.org/officeDocument/2006/relationships" ref="L49" r:id="rId39"/>
    <hyperlink xmlns:r="http://schemas.openxmlformats.org/officeDocument/2006/relationships" ref="L50" r:id="rId40"/>
    <hyperlink xmlns:r="http://schemas.openxmlformats.org/officeDocument/2006/relationships" ref="L51" r:id="rId41"/>
    <hyperlink xmlns:r="http://schemas.openxmlformats.org/officeDocument/2006/relationships" ref="L52" r:id="rId42"/>
    <hyperlink xmlns:r="http://schemas.openxmlformats.org/officeDocument/2006/relationships" ref="L53" r:id="rId43"/>
    <hyperlink xmlns:r="http://schemas.openxmlformats.org/officeDocument/2006/relationships" ref="L54" r:id="rId44"/>
    <hyperlink xmlns:r="http://schemas.openxmlformats.org/officeDocument/2006/relationships" ref="L55" r:id="rId45"/>
  </hyperlink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Halaman &amp;P dari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4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2026-09-28T01:21:02Z</dcterms:created>
  <dcterms:modified xsi:type="dcterms:W3CDTF">2026-09-28T01:21:02Z</dcterms:modified>
</cp:coreProperties>
</file>