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nduan" sheetId="1" state="visible" r:id="rId1"/>
    <sheet name="Database Buyer" sheetId="2" state="visible" r:id="rId2"/>
    <sheet name="Penawaran" sheetId="3" state="visible" r:id="rId3"/>
    <sheet name="Ringkasan" sheetId="4" state="visible" r:id="rId4"/>
    <sheet name="Syarat Ekspo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d-mmm-yy"/>
    <numFmt numFmtId="165" formatCode="&quot;$&quot;#,##0.00"/>
    <numFmt numFmtId="166" formatCode="&quot;$&quot;#,##0;(&quot;$&quot;#,##0);-"/>
    <numFmt numFmtId="167" formatCode="&quot;Rp&quot;#,##0;(&quot;Rp&quot;#,##0);-"/>
  </numFmts>
  <fonts count="12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95959"/>
      <sz val="10"/>
    </font>
    <font>
      <name val="Arial"/>
      <sz val="10"/>
    </font>
    <font>
      <name val="Arial"/>
      <b val="1"/>
      <color rgb="001F3864"/>
      <sz val="11"/>
    </font>
    <font>
      <name val="Arial"/>
      <color rgb="000000FF"/>
      <sz val="10"/>
    </font>
    <font>
      <name val="Arial"/>
      <b val="1"/>
      <color rgb="001F3864"/>
      <sz val="14"/>
    </font>
    <font>
      <name val="Arial"/>
      <b val="1"/>
      <color rgb="00FFFFFF"/>
      <sz val="10"/>
    </font>
    <font>
      <name val="Arial"/>
      <color rgb="000563C1"/>
      <sz val="10"/>
      <u val="single"/>
    </font>
    <font>
      <name val="Arial"/>
      <b val="1"/>
      <sz val="10"/>
    </font>
    <font>
      <name val="Arial"/>
      <i val="1"/>
      <color rgb="00595959"/>
      <sz val="9"/>
    </font>
    <font>
      <name val="Arial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EAF1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0" fontId="3" fillId="2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3" fontId="5" fillId="2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/>
    </xf>
    <xf numFmtId="0" fontId="3" fillId="2" borderId="0" applyAlignment="1" pivotButton="0" quotePrefix="0" xfId="0">
      <alignment vertical="top"/>
    </xf>
    <xf numFmtId="164" fontId="3" fillId="2" borderId="0" applyAlignment="1" pivotButton="0" quotePrefix="0" xfId="0">
      <alignment vertical="top"/>
    </xf>
    <xf numFmtId="0" fontId="8" fillId="0" borderId="0" applyAlignment="1" pivotButton="0" quotePrefix="0" xfId="0">
      <alignment vertical="top"/>
    </xf>
    <xf numFmtId="0" fontId="3" fillId="2" borderId="0" pivotButton="0" quotePrefix="0" xfId="0"/>
    <xf numFmtId="164" fontId="3" fillId="2" borderId="0" pivotButton="0" quotePrefix="0" xfId="0"/>
    <xf numFmtId="0" fontId="3" fillId="0" borderId="0" pivotButton="0" quotePrefix="0" xfId="0"/>
    <xf numFmtId="3" fontId="5" fillId="2" borderId="0" pivotButton="0" quotePrefix="0" xfId="0"/>
    <xf numFmtId="165" fontId="5" fillId="2" borderId="0" pivotButton="0" quotePrefix="0" xfId="0"/>
    <xf numFmtId="166" fontId="3" fillId="0" borderId="0" pivotButton="0" quotePrefix="0" xfId="0"/>
    <xf numFmtId="167" fontId="3" fillId="0" borderId="0" pivotButton="0" quotePrefix="0" xfId="0"/>
    <xf numFmtId="0" fontId="7" fillId="3" borderId="1" applyAlignment="1" pivotButton="0" quotePrefix="0" xfId="0">
      <alignment horizont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166" fontId="3" fillId="0" borderId="1" applyAlignment="1" pivotButton="0" quotePrefix="0" xfId="0">
      <alignment horizontal="center"/>
    </xf>
    <xf numFmtId="0" fontId="9" fillId="4" borderId="1" pivotButton="0" quotePrefix="0" xfId="0"/>
    <xf numFmtId="0" fontId="9" fillId="4" borderId="1" applyAlignment="1" pivotButton="0" quotePrefix="0" xfId="0">
      <alignment horizontal="center"/>
    </xf>
    <xf numFmtId="166" fontId="9" fillId="4" borderId="1" applyAlignment="1" pivotButton="0" quotePrefix="0" xfId="0">
      <alignment horizontal="center"/>
    </xf>
    <xf numFmtId="0" fontId="10" fillId="0" borderId="0" pivotButton="0" quotePrefix="0" xfId="0"/>
    <xf numFmtId="0" fontId="7" fillId="0" borderId="0" pivotButton="0" quotePrefix="0" xfId="0"/>
    <xf numFmtId="0" fontId="3" fillId="2" borderId="0" applyAlignment="1" pivotButton="0" quotePrefix="0" xfId="0">
      <alignment horizontal="center" vertical="top"/>
    </xf>
    <xf numFmtId="0" fontId="11" fillId="0" borderId="0" applyAlignment="1" pivotButton="0" quotePrefix="0" xfId="0">
      <alignment vertical="top" wrapText="1"/>
    </xf>
  </cellXfs>
  <cellStyles count="1">
    <cellStyle name="Normal" xfId="0" builtinId="0" hidden="0"/>
  </cellStyles>
  <dxfs count="5">
    <dxf>
      <font>
        <name val="Arial"/>
        <b val="1"/>
      </font>
      <fill>
        <patternFill patternType="solid">
          <fgColor rgb="00C6EFCE"/>
        </patternFill>
      </fill>
    </dxf>
    <dxf>
      <font>
        <name val="Arial"/>
        <b val="1"/>
      </font>
      <fill>
        <patternFill patternType="solid">
          <fgColor rgb="00FFEB9C"/>
        </patternFill>
      </fill>
    </dxf>
    <dxf>
      <font>
        <name val="Arial"/>
        <b val="1"/>
      </font>
      <fill>
        <patternFill patternType="solid">
          <fgColor rgb="00F2F2F2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Claude</author>
  </authors>
  <commentList>
    <comment ref="C22" authorId="0" shapeId="0">
      <text>
        <t>Asumsi kurs, ubah sesuai kurs BI/bank Anda saat penawaran.</t>
      </text>
    </comment>
  </commentList>
</comments>
</file>

<file path=xl/comments/comment2.xml><?xml version="1.0" encoding="utf-8"?>
<comments xmlns="http://schemas.openxmlformats.org/spreadsheetml/2006/main">
  <authors>
    <author>Claude</author>
  </authors>
  <commentList>
    <comment ref="O2" authorId="0" shapeId="0">
      <text>
        <t>Merah = sudah jatuh tempo follow-up.</t>
      </text>
    </comment>
  </commentList>
</comments>
</file>

<file path=xl/comments/comment3.xml><?xml version="1.0" encoding="utf-8"?>
<comments xmlns="http://schemas.openxmlformats.org/spreadsheetml/2006/main">
  <authors>
    <author>Claude</author>
  </authors>
  <commentList>
    <comment ref="L2" authorId="0" shapeId="0">
      <text>
        <t>Nilai USD × kurs di sheet Panduan.</t>
      </text>
    </comment>
  </commentList>
</comments>
</file>

<file path=xl/tables/table1.xml><?xml version="1.0" encoding="utf-8"?>
<table xmlns="http://schemas.openxmlformats.org/spreadsheetml/2006/main" id="1" name="tblBuyer" displayName="tblBuyer" ref="A2:R47" headerRowCount="1">
  <autoFilter ref="A2:R47"/>
  <tableColumns count="18">
    <tableColumn id="1" name="ID"/>
    <tableColumn id="2" name="Perusahaan"/>
    <tableColumn id="3" name="Wilayah"/>
    <tableColumn id="4" name="Negara"/>
    <tableColumn id="5" name="Kota"/>
    <tableColumn id="6" name="Tipe"/>
    <tableColumn id="7" name="Prioritas"/>
    <tableColumn id="8" name="Produk / Fokus"/>
    <tableColumn id="9" name="Website"/>
    <tableColumn id="10" name="PIC"/>
    <tableColumn id="11" name="Email"/>
    <tableColumn id="12" name="Telepon"/>
    <tableColumn id="13" name="Alamat"/>
    <tableColumn id="14" name="Status"/>
    <tableColumn id="15" name="Follow-up Berikutnya"/>
    <tableColumn id="16" name="Relevansi (hasil riset)"/>
    <tableColumn id="17" name="Sumber Verifikasi"/>
    <tableColumn id="18" name="Catatan Anda"/>
  </tableColumns>
  <tableStyleInfo name="TableStyleMedium2" showRowStripes="1"/>
</table>
</file>

<file path=xl/tables/table2.xml><?xml version="1.0" encoding="utf-8"?>
<table xmlns="http://schemas.openxmlformats.org/spreadsheetml/2006/main" id="2" name="tblPenawaran" displayName="tblPenawaran" ref="A2:O202" headerRowCount="1">
  <autoFilter ref="A2:O202"/>
  <tableColumns count="15">
    <tableColumn id="1" name="No. Penawaran"/>
    <tableColumn id="2" name="Tanggal"/>
    <tableColumn id="3" name="ID Buyer"/>
    <tableColumn id="4" name="Perusahaan"/>
    <tableColumn id="5" name="Negara"/>
    <tableColumn id="6" name="Incoterm"/>
    <tableColumn id="7" name="Pelabuhan/Bandara Tujuan"/>
    <tableColumn id="8" name="Grade"/>
    <tableColumn id="9" name="Volume (kg)"/>
    <tableColumn id="10" name="Harga (USD/kg)"/>
    <tableColumn id="11" name="Nilai (USD)"/>
    <tableColumn id="12" name="Nilai (IDR)"/>
    <tableColumn id="13" name="Berlaku s/d"/>
    <tableColumn id="14" name="Status"/>
    <tableColumn id="15" name="Catatan"/>
  </tableColumns>
  <tableStyleInfo name="TableStyleMedium2" showRowStripes="1"/>
</table>
</file>

<file path=xl/tables/table3.xml><?xml version="1.0" encoding="utf-8"?>
<table xmlns="http://schemas.openxmlformats.org/spreadsheetml/2006/main" id="3" name="tblSyarat" displayName="tblSyarat" ref="A3:D17" headerRowCount="1">
  <autoFilter ref="A3:D17"/>
  <tableColumns count="4">
    <tableColumn id="1" name="Pasar"/>
    <tableColumn id="2" name="Persyaratan"/>
    <tableColumn id="3" name="Siap? ✓"/>
    <tableColumn id="4" name="Sumber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volza.com/p/mangosteen-fruit/buyers/buyers-in-china/" TargetMode="External" Id="rId1" /><Relationship Type="http://schemas.openxmlformats.org/officeDocument/2006/relationships/hyperlink" Target="https://www.importgenius.com/importers/shanghai-holdfresh-trading-co-ltd" TargetMode="External" Id="rId2" /><Relationship Type="http://schemas.openxmlformats.org/officeDocument/2006/relationships/hyperlink" Target="https://www.sclanghao.com/en/zhanluebuju/chuannongjing-hainan-guojimaoyiyouxiangongsi/" TargetMode="External" Id="rId3" /><Relationship Type="http://schemas.openxmlformats.org/officeDocument/2006/relationships/hyperlink" Target="https://www.sclanghao.com/en/zhanluebuju/chuannongjing-hainan-guojimaoyiyouxiangongsi/" TargetMode="External" Id="rId4" /><Relationship Type="http://schemas.openxmlformats.org/officeDocument/2006/relationships/hyperlink" Target="https://en.nbd.ltd/news/d/668bd591679ff7d42846ca3410eb591e" TargetMode="External" Id="rId5" /><Relationship Type="http://schemas.openxmlformats.org/officeDocument/2006/relationships/hyperlink" Target="https://en.nbd.ltd/news/d/668bd591679ff7d42846ca3410eb591e" TargetMode="External" Id="rId6" /><Relationship Type="http://schemas.openxmlformats.org/officeDocument/2006/relationships/hyperlink" Target="https://bbs.fobshanghai.com/company/1602f3ks4138ml6.html" TargetMode="External" Id="rId7" /><Relationship Type="http://schemas.openxmlformats.org/officeDocument/2006/relationships/hyperlink" Target="http://en.gxmfruit.com" TargetMode="External" Id="rId8" /><Relationship Type="http://schemas.openxmlformats.org/officeDocument/2006/relationships/hyperlink" Target="http://en.gxmfruit.com/About.aspx?ClassID=45" TargetMode="External" Id="rId9" /><Relationship Type="http://schemas.openxmlformats.org/officeDocument/2006/relationships/hyperlink" Target="https://www.producereport.com/article/thailand-enjoys-lions-share-chinas-mangosteen-market" TargetMode="External" Id="rId10" /><Relationship Type="http://schemas.openxmlformats.org/officeDocument/2006/relationships/hyperlink" Target="https://www.goodfarmer.com/en/about.html" TargetMode="External" Id="rId11" /><Relationship Type="http://schemas.openxmlformats.org/officeDocument/2006/relationships/hyperlink" Target="https://www.goodfarmer.com/en/about.html" TargetMode="External" Id="rId12" /><Relationship Type="http://schemas.openxmlformats.org/officeDocument/2006/relationships/hyperlink" Target="https://www.joywingmau.com/en" TargetMode="External" Id="rId13" /><Relationship Type="http://schemas.openxmlformats.org/officeDocument/2006/relationships/hyperlink" Target="https://www.freshfruitportal.com/news/2025/09/08/joy-wing-mau-group-asia-fruit-logistica/" TargetMode="External" Id="rId14" /><Relationship Type="http://schemas.openxmlformats.org/officeDocument/2006/relationships/hyperlink" Target="https://www.prnewswire.com/news-releases/pagoda-makes-its-mark-at-asia-fruit-logistica-2024-launching-overseas-expansion-starting-with-indonesia-302238124.html" TargetMode="External" Id="rId15" /><Relationship Type="http://schemas.openxmlformats.org/officeDocument/2006/relationships/hyperlink" Target="https://www.freshplaza.com/north-america/photos/album/9463/asia-fruit-logistica-2019/" TargetMode="External" Id="rId16" /><Relationship Type="http://schemas.openxmlformats.org/officeDocument/2006/relationships/hyperlink" Target="https://www.cnverify.com/company/Huasheng-International-Trade-Guangzhou-Co-Ltd" TargetMode="External" Id="rId17" /><Relationship Type="http://schemas.openxmlformats.org/officeDocument/2006/relationships/hyperlink" Target="https://www.fruitnet.com/asiafruit/hongjiu-fruit-delisted-from-hong-kong-stock-exchange/270204.article" TargetMode="External" Id="rId18" /><Relationship Type="http://schemas.openxmlformats.org/officeDocument/2006/relationships/hyperlink" Target="https://www.sino-alliance.com/en/" TargetMode="External" Id="rId19" /><Relationship Type="http://schemas.openxmlformats.org/officeDocument/2006/relationships/hyperlink" Target="https://www.sino-alliance.com/en/" TargetMode="External" Id="rId20" /><Relationship Type="http://schemas.openxmlformats.org/officeDocument/2006/relationships/hyperlink" Target="https://cmcfruit.com/" TargetMode="External" Id="rId21" /><Relationship Type="http://schemas.openxmlformats.org/officeDocument/2006/relationships/hyperlink" Target="https://cmcfruit.com/" TargetMode="External" Id="rId22" /><Relationship Type="http://schemas.openxmlformats.org/officeDocument/2006/relationships/hyperlink" Target="https://www.csfruit.com.hk/" TargetMode="External" Id="rId23" /><Relationship Type="http://schemas.openxmlformats.org/officeDocument/2006/relationships/hyperlink" Target="https://www.csfruit.com.hk/about" TargetMode="External" Id="rId24" /><Relationship Type="http://schemas.openxmlformats.org/officeDocument/2006/relationships/hyperlink" Target="https://panjiva.com/Bailey-Fresh-Fruits-Co-Ltd-T-A-Prosperity-Fresh-Fruits-Trading-Co/149746110" TargetMode="External" Id="rId25" /><Relationship Type="http://schemas.openxmlformats.org/officeDocument/2006/relationships/hyperlink" Target="https://www.wingkee.com/" TargetMode="External" Id="rId26" /><Relationship Type="http://schemas.openxmlformats.org/officeDocument/2006/relationships/hyperlink" Target="https://www.wingkee.com/about-us/" TargetMode="External" Id="rId27" /><Relationship Type="http://schemas.openxmlformats.org/officeDocument/2006/relationships/hyperlink" Target="https://sourcing.hktdc.com/en/Supplier-Store-Directory/Wah-Kee-Fresh-Fruit-Vegetable-Ltd/1X09P9CX" TargetMode="External" Id="rId28" /><Relationship Type="http://schemas.openxmlformats.org/officeDocument/2006/relationships/hyperlink" Target="http://www.anusayafresh.com" TargetMode="External" Id="rId29" /><Relationship Type="http://schemas.openxmlformats.org/officeDocument/2006/relationships/hyperlink" Target="http://www.anusayafresh.com/aboutuae.html" TargetMode="External" Id="rId30" /><Relationship Type="http://schemas.openxmlformats.org/officeDocument/2006/relationships/hyperlink" Target="https://freshleafuae.com" TargetMode="External" Id="rId31" /><Relationship Type="http://schemas.openxmlformats.org/officeDocument/2006/relationships/hyperlink" Target="https://freshleafuae.com/mangosteen-indonesia/" TargetMode="External" Id="rId32" /><Relationship Type="http://schemas.openxmlformats.org/officeDocument/2006/relationships/hyperlink" Target="https://eutofoods.com" TargetMode="External" Id="rId33" /><Relationship Type="http://schemas.openxmlformats.org/officeDocument/2006/relationships/hyperlink" Target="https://eutofoods.com/fruits-importer-in-uae/" TargetMode="External" Id="rId34" /><Relationship Type="http://schemas.openxmlformats.org/officeDocument/2006/relationships/hyperlink" Target="https://www.alyusrafoodstuff.com" TargetMode="External" Id="rId35" /><Relationship Type="http://schemas.openxmlformats.org/officeDocument/2006/relationships/hyperlink" Target="https://www.alyusrafoodstuff.com/other-fruits-importer.php" TargetMode="External" Id="rId36" /><Relationship Type="http://schemas.openxmlformats.org/officeDocument/2006/relationships/hyperlink" Target="https://sourceinternational.ae" TargetMode="External" Id="rId37" /><Relationship Type="http://schemas.openxmlformats.org/officeDocument/2006/relationships/hyperlink" Target="https://sourceinternational.ae/exotic-fruit-importer-uae/" TargetMode="External" Id="rId38" /><Relationship Type="http://schemas.openxmlformats.org/officeDocument/2006/relationships/hyperlink" Target="https://barakatfresh.ae" TargetMode="External" Id="rId39" /><Relationship Type="http://schemas.openxmlformats.org/officeDocument/2006/relationships/hyperlink" Target="https://www.gulfood.com/exhibitors/barakat-vegetables-fruit-company-llc-1" TargetMode="External" Id="rId40" /><Relationship Type="http://schemas.openxmlformats.org/officeDocument/2006/relationships/hyperlink" Target="https://www.freshavenuefoodstufftradingllc.com" TargetMode="External" Id="rId41" /><Relationship Type="http://schemas.openxmlformats.org/officeDocument/2006/relationships/hyperlink" Target="https://www.freshavenuefoodstufftradingllc.com/" TargetMode="External" Id="rId42" /><Relationship Type="http://schemas.openxmlformats.org/officeDocument/2006/relationships/hyperlink" Target="https://meridianpf.com" TargetMode="External" Id="rId43" /><Relationship Type="http://schemas.openxmlformats.org/officeDocument/2006/relationships/hyperlink" Target="https://meridianpf.com/exporter-of-premium-seasonal-fruits-dubai/" TargetMode="External" Id="rId44" /><Relationship Type="http://schemas.openxmlformats.org/officeDocument/2006/relationships/hyperlink" Target="https://ajmeer.ae" TargetMode="External" Id="rId45" /><Relationship Type="http://schemas.openxmlformats.org/officeDocument/2006/relationships/hyperlink" Target="https://ajmeer.ae/" TargetMode="External" Id="rId46" /><Relationship Type="http://schemas.openxmlformats.org/officeDocument/2006/relationships/hyperlink" Target="https://shababalaweer.ae" TargetMode="External" Id="rId47" /><Relationship Type="http://schemas.openxmlformats.org/officeDocument/2006/relationships/hyperlink" Target="https://shababalaweer.ae/" TargetMode="External" Id="rId48" /><Relationship Type="http://schemas.openxmlformats.org/officeDocument/2006/relationships/hyperlink" Target="https://www.kibsons.com" TargetMode="External" Id="rId49" /><Relationship Type="http://schemas.openxmlformats.org/officeDocument/2006/relationships/hyperlink" Target="https://www.kibsons.com/en/fruits/exotics" TargetMode="External" Id="rId50" /><Relationship Type="http://schemas.openxmlformats.org/officeDocument/2006/relationships/hyperlink" Target="https://gulfnews.com/amp/story/business/corporate-news/thailand-expands-thai-fruits-food-festival-2026-campaign-through-al-maya-supermarkets-in-the-uae-1.500544329" TargetMode="External" Id="rId51" /><Relationship Type="http://schemas.openxmlformats.org/officeDocument/2006/relationships/hyperlink" Target="https://sharbatlyfruit.com" TargetMode="External" Id="rId52" /><Relationship Type="http://schemas.openxmlformats.org/officeDocument/2006/relationships/hyperlink" Target="https://sharbatlyfruit.com/" TargetMode="External" Id="rId53" /><Relationship Type="http://schemas.openxmlformats.org/officeDocument/2006/relationships/hyperlink" Target="https://shrayanaljazeera.com" TargetMode="External" Id="rId54" /><Relationship Type="http://schemas.openxmlformats.org/officeDocument/2006/relationships/hyperlink" Target="https://shrayanaljazeera.com/" TargetMode="External" Id="rId55" /><Relationship Type="http://schemas.openxmlformats.org/officeDocument/2006/relationships/hyperlink" Target="https://www.afdan.sa/en/" TargetMode="External" Id="rId56" /><Relationship Type="http://schemas.openxmlformats.org/officeDocument/2006/relationships/hyperlink" Target="https://www.afdan.sa/en/" TargetMode="External" Id="rId57" /><Relationship Type="http://schemas.openxmlformats.org/officeDocument/2006/relationships/hyperlink" Target="https://blissberrys.com" TargetMode="External" Id="rId58" /><Relationship Type="http://schemas.openxmlformats.org/officeDocument/2006/relationships/hyperlink" Target="https://blissberrys.com/" TargetMode="External" Id="rId59" /><Relationship Type="http://schemas.openxmlformats.org/officeDocument/2006/relationships/hyperlink" Target="https://shop.tamimimarkets.com" TargetMode="External" Id="rId60" /><Relationship Type="http://schemas.openxmlformats.org/officeDocument/2006/relationships/hyperlink" Target="https://www.cbinsights.com/company/tamimi-markets" TargetMode="External" Id="rId61" /><Relationship Type="http://schemas.openxmlformats.org/officeDocument/2006/relationships/hyperlink" Target="https://alshahabifruits.com" TargetMode="External" Id="rId62" /><Relationship Type="http://schemas.openxmlformats.org/officeDocument/2006/relationships/hyperlink" Target="https://alshahabifruits.com/" TargetMode="External" Id="rId63" /><Relationship Type="http://schemas.openxmlformats.org/officeDocument/2006/relationships/hyperlink" Target="https://www.wfc-qatar.com" TargetMode="External" Id="rId64" /><Relationship Type="http://schemas.openxmlformats.org/officeDocument/2006/relationships/hyperlink" Target="https://www.wfc-qatar.com/" TargetMode="External" Id="rId65" /><Relationship Type="http://schemas.openxmlformats.org/officeDocument/2006/relationships/hyperlink" Target="https://rff.qa" TargetMode="External" Id="rId66" /><Relationship Type="http://schemas.openxmlformats.org/officeDocument/2006/relationships/hyperlink" Target="https://rff.qa/" TargetMode="External" Id="rId67" /><Relationship Type="http://schemas.openxmlformats.org/officeDocument/2006/relationships/hyperlink" Target="https://redcoltqatar.com" TargetMode="External" Id="rId68" /><Relationship Type="http://schemas.openxmlformats.org/officeDocument/2006/relationships/hyperlink" Target="https://redcoltqatar.com/" TargetMode="External" Id="rId69" /><Relationship Type="http://schemas.openxmlformats.org/officeDocument/2006/relationships/hyperlink" Target="https://freshfruitoman.com" TargetMode="External" Id="rId70" /><Relationship Type="http://schemas.openxmlformats.org/officeDocument/2006/relationships/hyperlink" Target="https://freshfruitoman.com/" TargetMode="External" Id="rId71" /><Relationship Type="http://schemas.openxmlformats.org/officeDocument/2006/relationships/hyperlink" Target="https://www.sumafruits.com/en" TargetMode="External" Id="rId72" /><Relationship Type="http://schemas.openxmlformats.org/officeDocument/2006/relationships/hyperlink" Target="https://bestfoodimporters.com/company/suma-fruits-international/" TargetMode="External" Id="rId73" /><Relationship Type="http://schemas.openxmlformats.org/officeDocument/2006/relationships/hyperlink" Target="https://www.alghanimsons.com/fresh-produce" TargetMode="External" Id="rId74" /><Relationship Type="http://schemas.openxmlformats.org/officeDocument/2006/relationships/hyperlink" Target="https://www.alghanimsons.com/fresh-produce" TargetMode="External" Id="rId75" /><Relationship Type="http://schemas.openxmlformats.org/officeDocument/2006/relationships/hyperlink" Target="https://www.alqatarifruits.com" TargetMode="External" Id="rId76" /><Relationship Type="http://schemas.openxmlformats.org/officeDocument/2006/relationships/hyperlink" Target="https://www.alqatarifruits.com/about.html" TargetMode="External" Id="rId77" /><Relationship Type="http://schemas.openxmlformats.org/officeDocument/2006/relationships/table" Target="/xl/tables/table1.xml" Id="rId78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hyperlink" Target="https://pertanian.go.id/?act=view&amp;id=2513&amp;show=news" TargetMode="External" Id="rId1" /><Relationship Type="http://schemas.openxmlformats.org/officeDocument/2006/relationships/hyperlink" Target="https://www.tridge.com/market-guides/ID-mangosteen" TargetMode="External" Id="rId2" /><Relationship Type="http://schemas.openxmlformats.org/officeDocument/2006/relationships/hyperlink" Target="https://badanpangan.go.id/blog/post/dorong-percepatan-persetujuan-protokol-ekspor-buah-di-tiongkok-nfa-lakukan-bilateral-meeting-dengan-gacc" TargetMode="External" Id="rId3" /><Relationship Type="http://schemas.openxmlformats.org/officeDocument/2006/relationships/hyperlink" Target="https://dpkp.jogjaprov.go.id/" TargetMode="External" Id="rId4" /><Relationship Type="http://schemas.openxmlformats.org/officeDocument/2006/relationships/hyperlink" Target="https://www.tridge.com/market-guides/ID-mangosteen" TargetMode="External" Id="rId5" /><Relationship Type="http://schemas.openxmlformats.org/officeDocument/2006/relationships/hyperlink" Target="https://en.wikipedia.org/wiki/Yau_Ma_Tei_Fruit_Market" TargetMode="External" Id="rId6" /><Relationship Type="http://schemas.openxmlformats.org/officeDocument/2006/relationships/hyperlink" Target="https://www.moccae.gov.ae/en/services/import-permit" TargetMode="External" Id="rId7" /><Relationship Type="http://schemas.openxmlformats.org/officeDocument/2006/relationships/hyperlink" Target="https://site.moccae.gov.ae/en/services/export-import-services/release-of-agricultural-products-consignment.aspx" TargetMode="External" Id="rId8" /><Relationship Type="http://schemas.openxmlformats.org/officeDocument/2006/relationships/hyperlink" Target="https://www.sfda.gov.sa/sites/default/files/2021-08/GuideFreshFruitVegetableRegistrationLicensing.pdf" TargetMode="External" Id="rId9" /><Relationship Type="http://schemas.openxmlformats.org/officeDocument/2006/relationships/hyperlink" Target="https://www.intertek.com/siteassets/gts/saudi-arabia/sfa-eig-sfda-exporter-and-importer-guidelines-r09.pdf" TargetMode="External" Id="rId10" /><Relationship Type="http://schemas.openxmlformats.org/officeDocument/2006/relationships/hyperlink" Target="https://halalfoundation.org/halal-certification-for-export-to-uae-saudi-arabia-and-gcc-mena-countries/" TargetMode="External" Id="rId11" /><Relationship Type="http://schemas.openxmlformats.org/officeDocument/2006/relationships/hyperlink" Target="https://www.owafresh.com/trusted-mangosteen-distributor-from-indonesia-for-export/" TargetMode="External" Id="rId12" /><Relationship Type="http://schemas.openxmlformats.org/officeDocument/2006/relationships/hyperlink" Target="https://www.freshplaza.com/asia/article/9449917/imports-of-mangosteen-doubled-in-the-first-half-of-the-year-and-more-than-90-came-from-thailand/" TargetMode="External" Id="rId13" /><Relationship Type="http://schemas.openxmlformats.org/officeDocument/2006/relationships/hyperlink" Target="https://gulfbusiness.com/en/2026/logistics/dp-world-shows-ramadan-driven-spike-in-imports/" TargetMode="External" Id="rId14" /><Relationship Type="http://schemas.openxmlformats.org/officeDocument/2006/relationships/table" Target="/xl/tables/table3.xml" Id="rId15" 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B2:C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90" customWidth="1" min="3" max="3"/>
  </cols>
  <sheetData>
    <row r="2">
      <c r="B2" s="1" t="inlineStr">
        <is>
          <t>Database Buyer Manggis Segar: China &amp; Timur Tengah</t>
        </is>
      </c>
    </row>
    <row r="3">
      <c r="B3" s="2" t="inlineStr">
        <is>
          <t>Disusun 27 Sep 2026 dari sumber publik. Setiap baris punya link sumber. Verifikasi kontak sebelum mengirim penawaran.</t>
        </is>
      </c>
    </row>
    <row r="5">
      <c r="B5" s="3" t="inlineStr">
        <is>
          <t>CARA PAKAI</t>
        </is>
      </c>
      <c r="C5" s="4" t="inlineStr"/>
    </row>
    <row r="6">
      <c r="B6" s="5" t="inlineStr">
        <is>
          <t>1. Database Buyer</t>
        </is>
      </c>
      <c r="C6" s="4" t="inlineStr">
        <is>
          <t>Daftar buyer. Isi kolom kuning (PIC, Email, Telepon, Status, Follow-up, Catatan) setelah Anda verifikasi dari website buyer.</t>
        </is>
      </c>
    </row>
    <row r="7">
      <c r="B7" s="5" t="inlineStr">
        <is>
          <t>2. Penawaran</t>
        </is>
      </c>
      <c r="C7" s="4" t="inlineStr">
        <is>
          <t>Catat setiap penawaran harga. Isi kolom kuning; nama, negara, dan nilai terisi otomatis dari rumus.</t>
        </is>
      </c>
    </row>
    <row r="8">
      <c r="B8" s="5" t="inlineStr">
        <is>
          <t>3. Ringkasan</t>
        </is>
      </c>
      <c r="C8" s="4" t="inlineStr">
        <is>
          <t>Rekap otomatis jumlah buyer &amp; nilai penawaran per negara. Jangan diketik manual.</t>
        </is>
      </c>
    </row>
    <row r="9">
      <c r="B9" s="5" t="inlineStr">
        <is>
          <t>4. Syarat Ekspor</t>
        </is>
      </c>
      <c r="C9" s="4" t="inlineStr">
        <is>
          <t>Checklist dokumen/regulasi per pasar tujuan, lengkap dengan sumber.</t>
        </is>
      </c>
    </row>
    <row r="10">
      <c r="B10" s="5" t="inlineStr"/>
      <c r="C10" s="4" t="inlineStr"/>
    </row>
    <row r="11">
      <c r="B11" s="3" t="inlineStr">
        <is>
          <t>KODE WARNA</t>
        </is>
      </c>
      <c r="C11" s="4" t="inlineStr"/>
    </row>
    <row r="12">
      <c r="B12" s="6" t="inlineStr">
        <is>
          <t>Sel kuning</t>
        </is>
      </c>
      <c r="C12" s="4" t="inlineStr">
        <is>
          <t>Input Anda (boleh diketik/diubah)</t>
        </is>
      </c>
    </row>
    <row r="13">
      <c r="B13" s="7" t="inlineStr">
        <is>
          <t>Teks biru</t>
        </is>
      </c>
      <c r="C13" s="4" t="inlineStr">
        <is>
          <t>Angka asumsi yang diinput manual (mis. kurs)</t>
        </is>
      </c>
    </row>
    <row r="14">
      <c r="B14" s="5" t="inlineStr">
        <is>
          <t>Teks hitam</t>
        </is>
      </c>
      <c r="C14" s="4" t="inlineStr">
        <is>
          <t>Rumus: jangan ditimpa</t>
        </is>
      </c>
    </row>
    <row r="15">
      <c r="B15" s="5" t="inlineStr"/>
      <c r="C15" s="4" t="inlineStr"/>
    </row>
    <row r="16">
      <c r="B16" s="3" t="inlineStr">
        <is>
          <t>PRIORITAS (penilaian awal)</t>
        </is>
      </c>
      <c r="C16" s="4" t="inlineStr"/>
    </row>
    <row r="17">
      <c r="B17" s="5" t="inlineStr">
        <is>
          <t>A</t>
        </is>
      </c>
      <c r="C17" s="4" t="inlineStr">
        <is>
          <t>Terbukti impor/menjual manggis (data kiriman, katalog, atau artikel)</t>
        </is>
      </c>
    </row>
    <row r="18">
      <c r="B18" s="5" t="inlineStr">
        <is>
          <t>B</t>
        </is>
      </c>
      <c r="C18" s="4" t="inlineStr">
        <is>
          <t>Importir buah tropis/eksotis, sourcing dari Asia: kandidat kuat</t>
        </is>
      </c>
    </row>
    <row r="19">
      <c r="B19" s="5" t="inlineStr">
        <is>
          <t>C</t>
        </is>
      </c>
      <c r="C19" s="4" t="inlineStr">
        <is>
          <t>Importir/ritel umum atau informasi terbatas: prospek sekunder</t>
        </is>
      </c>
    </row>
    <row r="20">
      <c r="B20" s="5" t="inlineStr"/>
      <c r="C20" s="4" t="inlineStr"/>
    </row>
    <row r="21">
      <c r="B21" s="3" t="inlineStr">
        <is>
          <t>PENGATURAN</t>
        </is>
      </c>
      <c r="C21" s="4" t="inlineStr"/>
    </row>
    <row r="22">
      <c r="B22" s="5" t="inlineStr">
        <is>
          <t>Kurs USD → IDR</t>
        </is>
      </c>
      <c r="C22" s="8" t="n">
        <v>16500</v>
      </c>
    </row>
    <row r="23">
      <c r="B23" s="5" t="inlineStr"/>
      <c r="C23" s="4" t="inlineStr"/>
    </row>
    <row r="24">
      <c r="B24" s="3" t="inlineStr">
        <is>
          <t>CATATAN PENTING</t>
        </is>
      </c>
      <c r="C24" s="4" t="inlineStr"/>
    </row>
    <row r="25">
      <c r="B25" s="5" t="inlineStr">
        <is>
          <t>Kontak</t>
        </is>
      </c>
      <c r="C25" s="4" t="inlineStr">
        <is>
          <t>Email/telepon/PIC sengaja dikosongkan. Data kontak tidak dikarang; ambil langsung dari halaman 'Contact' di website buyer atau direktori resmi.</t>
        </is>
      </c>
    </row>
    <row r="26">
      <c r="B26" s="5" t="inlineStr">
        <is>
          <t>Data kiriman</t>
        </is>
      </c>
      <c r="C26" s="4" t="inlineStr">
        <is>
          <t>Pangsa kiriman (Volza/NBD/ImportGenius) diambil dari ringkasan hasil pencarian; cek ulang sebelum dikutip.</t>
        </is>
      </c>
    </row>
    <row r="27">
      <c r="B27" s="5" t="inlineStr">
        <is>
          <t>Musim</t>
        </is>
      </c>
      <c r="C27" s="4" t="inlineStr">
        <is>
          <t>Panen raya manggis Indonesia Okt–Mar. Hubungi buyer Timur Tengah Nov–Des 2026 untuk Ramadan 2027; buyer China untuk Imlek (Feb 2027).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R47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2" customWidth="1" min="2" max="2"/>
    <col width="14" customWidth="1" min="3" max="3"/>
    <col width="13" customWidth="1" min="4" max="4"/>
    <col width="20" customWidth="1" min="5" max="5"/>
    <col width="17" customWidth="1" min="6" max="6"/>
    <col width="10" customWidth="1" min="7" max="7"/>
    <col width="40" customWidth="1" min="8" max="8"/>
    <col width="32" customWidth="1" min="9" max="9"/>
    <col width="18" customWidth="1" min="10" max="10"/>
    <col width="24" customWidth="1" min="11" max="11"/>
    <col width="16" customWidth="1" min="12" max="12"/>
    <col width="34" customWidth="1" min="13" max="13"/>
    <col width="14" customWidth="1" min="14" max="14"/>
    <col width="14" customWidth="1" min="15" max="15"/>
    <col width="50" customWidth="1" min="16" max="16"/>
    <col width="40" customWidth="1" min="17" max="17"/>
    <col width="30" customWidth="1" min="18" max="18"/>
  </cols>
  <sheetData>
    <row r="1">
      <c r="A1" s="9" t="inlineStr">
        <is>
          <t>DATABASE BUYER MANGGIS SEGAR</t>
        </is>
      </c>
    </row>
    <row r="2" ht="30" customHeight="1">
      <c r="A2" s="10" t="inlineStr">
        <is>
          <t>ID</t>
        </is>
      </c>
      <c r="B2" s="10" t="inlineStr">
        <is>
          <t>Perusahaan</t>
        </is>
      </c>
      <c r="C2" s="10" t="inlineStr">
        <is>
          <t>Wilayah</t>
        </is>
      </c>
      <c r="D2" s="10" t="inlineStr">
        <is>
          <t>Negara</t>
        </is>
      </c>
      <c r="E2" s="10" t="inlineStr">
        <is>
          <t>Kota</t>
        </is>
      </c>
      <c r="F2" s="10" t="inlineStr">
        <is>
          <t>Tipe</t>
        </is>
      </c>
      <c r="G2" s="10" t="inlineStr">
        <is>
          <t>Prioritas</t>
        </is>
      </c>
      <c r="H2" s="10" t="inlineStr">
        <is>
          <t>Produk / Fokus</t>
        </is>
      </c>
      <c r="I2" s="10" t="inlineStr">
        <is>
          <t>Website</t>
        </is>
      </c>
      <c r="J2" s="10" t="inlineStr">
        <is>
          <t>PIC</t>
        </is>
      </c>
      <c r="K2" s="10" t="inlineStr">
        <is>
          <t>Email</t>
        </is>
      </c>
      <c r="L2" s="10" t="inlineStr">
        <is>
          <t>Telepon</t>
        </is>
      </c>
      <c r="M2" s="10" t="inlineStr">
        <is>
          <t>Alamat</t>
        </is>
      </c>
      <c r="N2" s="10" t="inlineStr">
        <is>
          <t>Status</t>
        </is>
      </c>
      <c r="O2" s="10" t="inlineStr">
        <is>
          <t>Follow-up Berikutnya</t>
        </is>
      </c>
      <c r="P2" s="10" t="inlineStr">
        <is>
          <t>Relevansi (hasil riset)</t>
        </is>
      </c>
      <c r="Q2" s="10" t="inlineStr">
        <is>
          <t>Sumber Verifikasi</t>
        </is>
      </c>
      <c r="R2" s="10" t="inlineStr">
        <is>
          <t>Catatan Anda</t>
        </is>
      </c>
    </row>
    <row r="3">
      <c r="A3" s="11" t="inlineStr">
        <is>
          <t>B001</t>
        </is>
      </c>
      <c r="B3" s="4" t="inlineStr">
        <is>
          <t>Beijing Junyao International</t>
        </is>
      </c>
      <c r="C3" s="11" t="inlineStr">
        <is>
          <t>China &amp; HK</t>
        </is>
      </c>
      <c r="D3" s="11" t="inlineStr">
        <is>
          <t>China</t>
        </is>
      </c>
      <c r="E3" s="11" t="inlineStr">
        <is>
          <t>Beijing</t>
        </is>
      </c>
      <c r="F3" s="11" t="inlineStr">
        <is>
          <t>Importir</t>
        </is>
      </c>
      <c r="G3" s="11" t="inlineStr">
        <is>
          <t>A</t>
        </is>
      </c>
      <c r="H3" s="4" t="inlineStr">
        <is>
          <t>Manggis segar (Indonesia, Thailand)</t>
        </is>
      </c>
      <c r="I3" s="11" t="n"/>
      <c r="J3" s="12" t="n"/>
      <c r="K3" s="12" t="n"/>
      <c r="L3" s="12" t="n"/>
      <c r="M3" s="4" t="n"/>
      <c r="N3" s="12" t="inlineStr">
        <is>
          <t>Baru</t>
        </is>
      </c>
      <c r="O3" s="13" t="n"/>
      <c r="P3" s="4" t="inlineStr">
        <is>
          <t>±31% kiriman impor manggis China (Volza); pemasok: PT Bumi Indo Nusantara Abadi</t>
        </is>
      </c>
      <c r="Q3" s="14" t="inlineStr">
        <is>
          <t>https://www.volza.com/p/mangosteen-fruit/buyers/buyers-in-china/</t>
        </is>
      </c>
      <c r="R3" s="12" t="n"/>
    </row>
    <row r="4">
      <c r="A4" s="11" t="inlineStr">
        <is>
          <t>B002</t>
        </is>
      </c>
      <c r="B4" s="4" t="inlineStr">
        <is>
          <t>Shanghai Holdfresh Trading Co., Ltd.</t>
        </is>
      </c>
      <c r="C4" s="11" t="inlineStr">
        <is>
          <t>China &amp; HK</t>
        </is>
      </c>
      <c r="D4" s="11" t="inlineStr">
        <is>
          <t>China</t>
        </is>
      </c>
      <c r="E4" s="11" t="inlineStr">
        <is>
          <t>Shanghai</t>
        </is>
      </c>
      <c r="F4" s="11" t="inlineStr">
        <is>
          <t>Importir</t>
        </is>
      </c>
      <c r="G4" s="11" t="inlineStr">
        <is>
          <t>A</t>
        </is>
      </c>
      <c r="H4" s="4" t="inlineStr">
        <is>
          <t>Buah tropis termasuk manggis</t>
        </is>
      </c>
      <c r="I4" s="11" t="n"/>
      <c r="J4" s="12" t="n"/>
      <c r="K4" s="12" t="n"/>
      <c r="L4" s="12" t="n"/>
      <c r="M4" s="4" t="n"/>
      <c r="N4" s="12" t="inlineStr">
        <is>
          <t>Baru</t>
        </is>
      </c>
      <c r="O4" s="13" t="n"/>
      <c r="P4" s="4" t="inlineStr">
        <is>
          <t>±20% kiriman impor manggis China (Volza); importir manggis Indonesia</t>
        </is>
      </c>
      <c r="Q4" s="14" t="inlineStr">
        <is>
          <t>https://www.importgenius.com/importers/shanghai-holdfresh-trading-co-ltd</t>
        </is>
      </c>
      <c r="R4" s="12" t="n"/>
    </row>
    <row r="5">
      <c r="A5" s="11" t="inlineStr">
        <is>
          <t>B003</t>
        </is>
      </c>
      <c r="B5" s="4" t="inlineStr">
        <is>
          <t>Chuannongjing (Hainan) International Trade Co., Ltd.</t>
        </is>
      </c>
      <c r="C5" s="11" t="inlineStr">
        <is>
          <t>China &amp; HK</t>
        </is>
      </c>
      <c r="D5" s="11" t="inlineStr">
        <is>
          <t>China</t>
        </is>
      </c>
      <c r="E5" s="11" t="inlineStr">
        <is>
          <t>Hainan</t>
        </is>
      </c>
      <c r="F5" s="11" t="inlineStr">
        <is>
          <t>Importir</t>
        </is>
      </c>
      <c r="G5" s="11" t="inlineStr">
        <is>
          <t>A</t>
        </is>
      </c>
      <c r="H5" s="4" t="inlineStr">
        <is>
          <t>Produk segar global, manggis</t>
        </is>
      </c>
      <c r="I5" s="14" t="inlineStr">
        <is>
          <t>https://www.sclanghao.com/en/zhanluebuju/chuannongjing-hainan-guojimaoyiyouxiangongsi/</t>
        </is>
      </c>
      <c r="J5" s="12" t="n"/>
      <c r="K5" s="12" t="n"/>
      <c r="L5" s="12" t="n"/>
      <c r="M5" s="4" t="n"/>
      <c r="N5" s="12" t="inlineStr">
        <is>
          <t>Baru</t>
        </is>
      </c>
      <c r="O5" s="13" t="n"/>
      <c r="P5" s="4" t="inlineStr">
        <is>
          <t>±17% kiriman manggis China (Volza); impor manggis Indonesia akhir 2024; anak usaha BUMD Sichuan</t>
        </is>
      </c>
      <c r="Q5" s="14" t="inlineStr">
        <is>
          <t>https://www.sclanghao.com/en/zhanluebuju/chuannongjing-hainan-guojimaoyiyouxiangongsi/</t>
        </is>
      </c>
      <c r="R5" s="12" t="n"/>
    </row>
    <row r="6">
      <c r="A6" s="11" t="inlineStr">
        <is>
          <t>B004</t>
        </is>
      </c>
      <c r="B6" s="4" t="inlineStr">
        <is>
          <t>Beijing Junhui International Trading Co., Ltd.</t>
        </is>
      </c>
      <c r="C6" s="11" t="inlineStr">
        <is>
          <t>China &amp; HK</t>
        </is>
      </c>
      <c r="D6" s="11" t="inlineStr">
        <is>
          <t>China</t>
        </is>
      </c>
      <c r="E6" s="11" t="inlineStr">
        <is>
          <t>Beijing</t>
        </is>
      </c>
      <c r="F6" s="11" t="inlineStr">
        <is>
          <t>Importir</t>
        </is>
      </c>
      <c r="G6" s="11" t="inlineStr">
        <is>
          <t>A</t>
        </is>
      </c>
      <c r="H6" s="4" t="inlineStr">
        <is>
          <t>Manggis dari Indonesia</t>
        </is>
      </c>
      <c r="I6" s="11" t="n"/>
      <c r="J6" s="12" t="n"/>
      <c r="K6" s="12" t="n"/>
      <c r="L6" s="12" t="n"/>
      <c r="M6" s="4" t="n"/>
      <c r="N6" s="12" t="inlineStr">
        <is>
          <t>Baru</t>
        </is>
      </c>
      <c r="O6" s="13" t="n"/>
      <c r="P6" s="4" t="inlineStr">
        <is>
          <t>Pembeli manggis Indonesia terbesar akhir 2024 (±USD 2,77 jt, NBD)</t>
        </is>
      </c>
      <c r="Q6" s="14" t="inlineStr">
        <is>
          <t>https://en.nbd.ltd/news/d/668bd591679ff7d42846ca3410eb591e</t>
        </is>
      </c>
      <c r="R6" s="12" t="n"/>
    </row>
    <row r="7">
      <c r="A7" s="11" t="inlineStr">
        <is>
          <t>B005</t>
        </is>
      </c>
      <c r="B7" s="4" t="inlineStr">
        <is>
          <t>Shanghai Sunshine Agriculture Technology Co., Ltd.</t>
        </is>
      </c>
      <c r="C7" s="11" t="inlineStr">
        <is>
          <t>China &amp; HK</t>
        </is>
      </c>
      <c r="D7" s="11" t="inlineStr">
        <is>
          <t>China</t>
        </is>
      </c>
      <c r="E7" s="11" t="inlineStr">
        <is>
          <t>Shanghai</t>
        </is>
      </c>
      <c r="F7" s="11" t="inlineStr">
        <is>
          <t>Importir</t>
        </is>
      </c>
      <c r="G7" s="11" t="inlineStr">
        <is>
          <t>A</t>
        </is>
      </c>
      <c r="H7" s="4" t="inlineStr">
        <is>
          <t>Manggis dari Indonesia</t>
        </is>
      </c>
      <c r="I7" s="11" t="n"/>
      <c r="J7" s="12" t="n"/>
      <c r="K7" s="12" t="n"/>
      <c r="L7" s="12" t="n"/>
      <c r="M7" s="4" t="n"/>
      <c r="N7" s="12" t="inlineStr">
        <is>
          <t>Baru</t>
        </is>
      </c>
      <c r="O7" s="13" t="n"/>
      <c r="P7" s="4" t="inlineStr">
        <is>
          <t>Pembeli manggis Indonesia (±USD 1,05 jt, akhir 2024, NBD)</t>
        </is>
      </c>
      <c r="Q7" s="14" t="inlineStr">
        <is>
          <t>https://en.nbd.ltd/news/d/668bd591679ff7d42846ca3410eb591e</t>
        </is>
      </c>
      <c r="R7" s="12" t="n"/>
    </row>
    <row r="8">
      <c r="A8" s="11" t="inlineStr">
        <is>
          <t>B006</t>
        </is>
      </c>
      <c r="B8" s="4" t="inlineStr">
        <is>
          <t>Guangzhou Zhanhui Trade Co., Ltd.</t>
        </is>
      </c>
      <c r="C8" s="11" t="inlineStr">
        <is>
          <t>China &amp; HK</t>
        </is>
      </c>
      <c r="D8" s="11" t="inlineStr">
        <is>
          <t>China</t>
        </is>
      </c>
      <c r="E8" s="11" t="inlineStr">
        <is>
          <t>Guangzhou</t>
        </is>
      </c>
      <c r="F8" s="11" t="inlineStr">
        <is>
          <t>Importir</t>
        </is>
      </c>
      <c r="G8" s="11" t="inlineStr">
        <is>
          <t>A</t>
        </is>
      </c>
      <c r="H8" s="4" t="inlineStr">
        <is>
          <t>Durian, lengkeng, manggis Thailand; buah naga Vietnam</t>
        </is>
      </c>
      <c r="I8" s="11" t="n"/>
      <c r="J8" s="12" t="n"/>
      <c r="K8" s="12" t="n"/>
      <c r="L8" s="12" t="n"/>
      <c r="M8" s="4" t="inlineStr">
        <is>
          <t>Pasar Buah Jiangnan, Guangzhou</t>
        </is>
      </c>
      <c r="N8" s="12" t="inlineStr">
        <is>
          <t>Baru</t>
        </is>
      </c>
      <c r="O8" s="13" t="n"/>
      <c r="P8" s="4" t="inlineStr">
        <is>
          <t>Berbasis di Pasar Jiangnan; impor manggis Thailand</t>
        </is>
      </c>
      <c r="Q8" s="14" t="inlineStr">
        <is>
          <t>https://bbs.fobshanghai.com/company/1602f3ks4138ml6.html</t>
        </is>
      </c>
      <c r="R8" s="12" t="n"/>
    </row>
    <row r="9">
      <c r="A9" s="11" t="inlineStr">
        <is>
          <t>B007</t>
        </is>
      </c>
      <c r="B9" s="4" t="inlineStr">
        <is>
          <t>Guangzhou Wen Wu He Tai Trading Co., Ltd.</t>
        </is>
      </c>
      <c r="C9" s="11" t="inlineStr">
        <is>
          <t>China &amp; HK</t>
        </is>
      </c>
      <c r="D9" s="11" t="inlineStr">
        <is>
          <t>China</t>
        </is>
      </c>
      <c r="E9" s="11" t="inlineStr">
        <is>
          <t>Guangzhou</t>
        </is>
      </c>
      <c r="F9" s="11" t="inlineStr">
        <is>
          <t>Importir</t>
        </is>
      </c>
      <c r="G9" s="11" t="inlineStr">
        <is>
          <t>A</t>
        </is>
      </c>
      <c r="H9" s="4" t="inlineStr">
        <is>
          <t>Buah Asia Tenggara termasuk manggis</t>
        </is>
      </c>
      <c r="I9" s="14" t="inlineStr">
        <is>
          <t>http://en.gxmfruit.com</t>
        </is>
      </c>
      <c r="J9" s="12" t="n"/>
      <c r="K9" s="12" t="n"/>
      <c r="L9" s="12" t="n"/>
      <c r="M9" s="4" t="n"/>
      <c r="N9" s="12" t="inlineStr">
        <is>
          <t>Baru</t>
        </is>
      </c>
      <c r="O9" s="13" t="n"/>
      <c r="P9" s="4" t="inlineStr">
        <is>
          <t>Fokus impor buah Asia Tenggara, pernah impor manggis</t>
        </is>
      </c>
      <c r="Q9" s="14" t="inlineStr">
        <is>
          <t>http://en.gxmfruit.com/About.aspx?ClassID=45</t>
        </is>
      </c>
      <c r="R9" s="12" t="n"/>
    </row>
    <row r="10">
      <c r="A10" s="11" t="inlineStr">
        <is>
          <t>B008</t>
        </is>
      </c>
      <c r="B10" s="4" t="inlineStr">
        <is>
          <t>Shanghai Binyue Trade Co., Ltd.</t>
        </is>
      </c>
      <c r="C10" s="11" t="inlineStr">
        <is>
          <t>China &amp; HK</t>
        </is>
      </c>
      <c r="D10" s="11" t="inlineStr">
        <is>
          <t>China</t>
        </is>
      </c>
      <c r="E10" s="11" t="inlineStr">
        <is>
          <t>Shanghai</t>
        </is>
      </c>
      <c r="F10" s="11" t="inlineStr">
        <is>
          <t>Wholesaler</t>
        </is>
      </c>
      <c r="G10" s="11" t="inlineStr">
        <is>
          <t>A</t>
        </is>
      </c>
      <c r="H10" s="4" t="inlineStr">
        <is>
          <t>Manggis Thailand (merek Limei)</t>
        </is>
      </c>
      <c r="I10" s="11" t="n"/>
      <c r="J10" s="12" t="n"/>
      <c r="K10" s="12" t="n"/>
      <c r="L10" s="12" t="n"/>
      <c r="M10" s="4" t="inlineStr">
        <is>
          <t>Pasar Buah Huizhan, Shanghai</t>
        </is>
      </c>
      <c r="N10" s="12" t="inlineStr">
        <is>
          <t>Baru</t>
        </is>
      </c>
      <c r="O10" s="13" t="n"/>
      <c r="P10" s="4" t="inlineStr">
        <is>
          <t>Pedagang manggis di hub distribusi China Timur</t>
        </is>
      </c>
      <c r="Q10" s="14" t="inlineStr">
        <is>
          <t>https://www.producereport.com/article/thailand-enjoys-lions-share-chinas-mangosteen-market</t>
        </is>
      </c>
      <c r="R10" s="12" t="n"/>
    </row>
    <row r="11">
      <c r="A11" s="11" t="inlineStr">
        <is>
          <t>B009</t>
        </is>
      </c>
      <c r="B11" s="4" t="inlineStr">
        <is>
          <t>Goodfarmer (Jianong Food Holding Group)</t>
        </is>
      </c>
      <c r="C11" s="11" t="inlineStr">
        <is>
          <t>China &amp; HK</t>
        </is>
      </c>
      <c r="D11" s="11" t="inlineStr">
        <is>
          <t>China</t>
        </is>
      </c>
      <c r="E11" s="11" t="inlineStr">
        <is>
          <t>Shanghai</t>
        </is>
      </c>
      <c r="F11" s="11" t="inlineStr">
        <is>
          <t>Importir</t>
        </is>
      </c>
      <c r="G11" s="11" t="inlineStr">
        <is>
          <t>A</t>
        </is>
      </c>
      <c r="H11" s="4" t="inlineStr">
        <is>
          <t>Durian, lengkeng, manggis, pisang, nanas</t>
        </is>
      </c>
      <c r="I11" s="14" t="inlineStr">
        <is>
          <t>https://www.goodfarmer.com/en/about.html</t>
        </is>
      </c>
      <c r="J11" s="12" t="n"/>
      <c r="K11" s="12" t="n"/>
      <c r="L11" s="12" t="n"/>
      <c r="M11" s="4" t="n"/>
      <c r="N11" s="12" t="inlineStr">
        <is>
          <t>Baru</t>
        </is>
      </c>
      <c r="O11" s="13" t="n"/>
      <c r="P11" s="4" t="inlineStr">
        <is>
          <t>Berdiri 2002; 30+ pusat distribusi; fokus buah tropis</t>
        </is>
      </c>
      <c r="Q11" s="14" t="inlineStr">
        <is>
          <t>https://www.goodfarmer.com/en/about.html</t>
        </is>
      </c>
      <c r="R11" s="12" t="n"/>
    </row>
    <row r="12">
      <c r="A12" s="11" t="inlineStr">
        <is>
          <t>B010</t>
        </is>
      </c>
      <c r="B12" s="4" t="inlineStr">
        <is>
          <t>Joy Wing Mau Fruit Technologies Corp.</t>
        </is>
      </c>
      <c r="C12" s="11" t="inlineStr">
        <is>
          <t>China &amp; HK</t>
        </is>
      </c>
      <c r="D12" s="11" t="inlineStr">
        <is>
          <t>China</t>
        </is>
      </c>
      <c r="E12" s="11" t="inlineStr">
        <is>
          <t>Shenzhen</t>
        </is>
      </c>
      <c r="F12" s="11" t="inlineStr">
        <is>
          <t>Distributor</t>
        </is>
      </c>
      <c r="G12" s="11" t="inlineStr">
        <is>
          <t>B</t>
        </is>
      </c>
      <c r="H12" s="4" t="inlineStr">
        <is>
          <t>Buah impor, durian Thailand; distribusi nasional</t>
        </is>
      </c>
      <c r="I12" s="14" t="inlineStr">
        <is>
          <t>https://www.joywingmau.com/en</t>
        </is>
      </c>
      <c r="J12" s="12" t="n"/>
      <c r="K12" s="12" t="n"/>
      <c r="L12" s="12" t="n"/>
      <c r="M12" s="4" t="n"/>
      <c r="N12" s="12" t="inlineStr">
        <is>
          <t>Baru</t>
        </is>
      </c>
      <c r="O12" s="13" t="n"/>
      <c r="P12" s="4" t="inlineStr">
        <is>
          <t>Distributor buah impor terbesar di China; peserta Asia Fruit Logistica</t>
        </is>
      </c>
      <c r="Q12" s="14" t="inlineStr">
        <is>
          <t>https://www.freshfruitportal.com/news/2025/09/08/joy-wing-mau-group-asia-fruit-logistica/</t>
        </is>
      </c>
      <c r="R12" s="12" t="n"/>
    </row>
    <row r="13">
      <c r="A13" s="11" t="inlineStr">
        <is>
          <t>B011</t>
        </is>
      </c>
      <c r="B13" s="4" t="inlineStr">
        <is>
          <t>Pagoda (Shenzhen Pagoda Industrial / Baiguoyuan)</t>
        </is>
      </c>
      <c r="C13" s="11" t="inlineStr">
        <is>
          <t>China &amp; HK</t>
        </is>
      </c>
      <c r="D13" s="11" t="inlineStr">
        <is>
          <t>China</t>
        </is>
      </c>
      <c r="E13" s="11" t="inlineStr">
        <is>
          <t>Shenzhen</t>
        </is>
      </c>
      <c r="F13" s="11" t="inlineStr">
        <is>
          <t>Retail/Supermarket</t>
        </is>
      </c>
      <c r="G13" s="11" t="inlineStr">
        <is>
          <t>B</t>
        </is>
      </c>
      <c r="H13" s="4" t="inlineStr">
        <is>
          <t>Rantai ritel buah; sourcing langsung luar negeri</t>
        </is>
      </c>
      <c r="I13" s="11" t="n"/>
      <c r="J13" s="12" t="n"/>
      <c r="K13" s="12" t="n"/>
      <c r="L13" s="12" t="n"/>
      <c r="M13" s="4" t="n"/>
      <c r="N13" s="12" t="inlineStr">
        <is>
          <t>Baru</t>
        </is>
      </c>
      <c r="O13" s="13" t="n"/>
      <c r="P13" s="4" t="inlineStr">
        <is>
          <t>Ritel buah terbesar China; ekspansi ke Indonesia 2024</t>
        </is>
      </c>
      <c r="Q13" s="14" t="inlineStr">
        <is>
          <t>https://www.prnewswire.com/news-releases/pagoda-makes-its-mark-at-asia-fruit-logistica-2024-launching-overseas-expansion-starting-with-indonesia-302238124.html</t>
        </is>
      </c>
      <c r="R13" s="12" t="n"/>
    </row>
    <row r="14">
      <c r="A14" s="11" t="inlineStr">
        <is>
          <t>B012</t>
        </is>
      </c>
      <c r="B14" s="4" t="inlineStr">
        <is>
          <t>Xianfeng Fruit Co., Ltd.</t>
        </is>
      </c>
      <c r="C14" s="11" t="inlineStr">
        <is>
          <t>China &amp; HK</t>
        </is>
      </c>
      <c r="D14" s="11" t="inlineStr">
        <is>
          <t>China</t>
        </is>
      </c>
      <c r="E14" s="11" t="inlineStr"/>
      <c r="F14" s="11" t="inlineStr">
        <is>
          <t>Importir</t>
        </is>
      </c>
      <c r="G14" s="11" t="inlineStr">
        <is>
          <t>B</t>
        </is>
      </c>
      <c r="H14" s="4" t="inlineStr">
        <is>
          <t>Impor global termasuk durian Thailand; punya jaringan toko</t>
        </is>
      </c>
      <c r="I14" s="11" t="n"/>
      <c r="J14" s="12" t="n"/>
      <c r="K14" s="12" t="n"/>
      <c r="L14" s="12" t="n"/>
      <c r="M14" s="4" t="n"/>
      <c r="N14" s="12" t="inlineStr">
        <is>
          <t>Baru</t>
        </is>
      </c>
      <c r="O14" s="13" t="n"/>
      <c r="P14" s="4" t="inlineStr">
        <is>
          <t>Peserta Asia Fruit Logistica</t>
        </is>
      </c>
      <c r="Q14" s="14" t="inlineStr">
        <is>
          <t>https://www.freshplaza.com/north-america/photos/album/9463/asia-fruit-logistica-2019/</t>
        </is>
      </c>
      <c r="R14" s="12" t="n"/>
    </row>
    <row r="15">
      <c r="A15" s="11" t="inlineStr">
        <is>
          <t>B013</t>
        </is>
      </c>
      <c r="B15" s="4" t="inlineStr">
        <is>
          <t>Huasheng International Trade (Guangzhou) Co., Ltd.</t>
        </is>
      </c>
      <c r="C15" s="11" t="inlineStr">
        <is>
          <t>China &amp; HK</t>
        </is>
      </c>
      <c r="D15" s="11" t="inlineStr">
        <is>
          <t>China</t>
        </is>
      </c>
      <c r="E15" s="11" t="inlineStr">
        <is>
          <t>Guangzhou</t>
        </is>
      </c>
      <c r="F15" s="11" t="inlineStr">
        <is>
          <t>Wholesaler</t>
        </is>
      </c>
      <c r="G15" s="11" t="inlineStr">
        <is>
          <t>C</t>
        </is>
      </c>
      <c r="H15" s="4" t="inlineStr">
        <is>
          <t>Buah impor (ceri, anggur, blueberry, kiwi)</t>
        </is>
      </c>
      <c r="I15" s="11" t="n"/>
      <c r="J15" s="12" t="n"/>
      <c r="K15" s="12" t="n"/>
      <c r="L15" s="12" t="n"/>
      <c r="M15" s="4" t="n"/>
      <c r="N15" s="12" t="inlineStr">
        <is>
          <t>Baru</t>
        </is>
      </c>
      <c r="O15" s="13" t="n"/>
      <c r="P15" s="4" t="inlineStr">
        <is>
          <t>25+ tahun di pasar Guangzhou; buah tropis bukan lini utama</t>
        </is>
      </c>
      <c r="Q15" s="14" t="inlineStr">
        <is>
          <t>https://www.cnverify.com/company/Huasheng-International-Trade-Guangzhou-Co-Ltd</t>
        </is>
      </c>
      <c r="R15" s="12" t="n"/>
    </row>
    <row r="16">
      <c r="A16" s="11" t="inlineStr">
        <is>
          <t>B014</t>
        </is>
      </c>
      <c r="B16" s="4" t="inlineStr">
        <is>
          <t>Chongqing Hongjiu Fruit Co., Ltd.</t>
        </is>
      </c>
      <c r="C16" s="11" t="inlineStr">
        <is>
          <t>China &amp; HK</t>
        </is>
      </c>
      <c r="D16" s="11" t="inlineStr">
        <is>
          <t>China</t>
        </is>
      </c>
      <c r="E16" s="11" t="inlineStr">
        <is>
          <t>Chongqing</t>
        </is>
      </c>
      <c r="F16" s="11" t="inlineStr">
        <is>
          <t>Distributor</t>
        </is>
      </c>
      <c r="G16" s="11" t="inlineStr">
        <is>
          <t>C</t>
        </is>
      </c>
      <c r="H16" s="4" t="inlineStr">
        <is>
          <t>Durian, manggis, lengkeng Thailand</t>
        </is>
      </c>
      <c r="I16" s="11" t="n"/>
      <c r="J16" s="12" t="n"/>
      <c r="K16" s="12" t="n"/>
      <c r="L16" s="12" t="n"/>
      <c r="M16" s="4" t="n"/>
      <c r="N16" s="12" t="inlineStr">
        <is>
          <t>Baru</t>
        </is>
      </c>
      <c r="O16" s="13" t="n"/>
      <c r="P16" s="4" t="inlineStr">
        <is>
          <t>Pernah impor manggis. PERHATIAN: delisting dari HKEX 2024 (cek kondisi keuangan, wajib LC/advance)</t>
        </is>
      </c>
      <c r="Q16" s="14" t="inlineStr">
        <is>
          <t>https://www.fruitnet.com/asiafruit/hongjiu-fruit-delisted-from-hong-kong-stock-exchange/270204.article</t>
        </is>
      </c>
      <c r="R16" s="12" t="n"/>
    </row>
    <row r="17">
      <c r="A17" s="11" t="inlineStr">
        <is>
          <t>B015</t>
        </is>
      </c>
      <c r="B17" s="4" t="inlineStr">
        <is>
          <t>Sino Alliance Trading (Hong Kong) Limited</t>
        </is>
      </c>
      <c r="C17" s="11" t="inlineStr">
        <is>
          <t>China &amp; HK</t>
        </is>
      </c>
      <c r="D17" s="11" t="inlineStr">
        <is>
          <t>Hong Kong</t>
        </is>
      </c>
      <c r="E17" s="11" t="inlineStr">
        <is>
          <t>Yau Ma Tei, Kowloon</t>
        </is>
      </c>
      <c r="F17" s="11" t="inlineStr">
        <is>
          <t>Importir</t>
        </is>
      </c>
      <c r="G17" s="11" t="inlineStr">
        <is>
          <t>A</t>
        </is>
      </c>
      <c r="H17" s="4" t="inlineStr">
        <is>
          <t>Buah segar dari 30+ negara</t>
        </is>
      </c>
      <c r="I17" s="14" t="inlineStr">
        <is>
          <t>https://www.sino-alliance.com/en/</t>
        </is>
      </c>
      <c r="J17" s="12" t="n"/>
      <c r="K17" s="12" t="n"/>
      <c r="L17" s="12" t="n"/>
      <c r="M17" s="4" t="inlineStr">
        <is>
          <t>Pasar Buah Yau Ma Tei</t>
        </is>
      </c>
      <c r="N17" s="12" t="inlineStr">
        <is>
          <t>Baru</t>
        </is>
      </c>
      <c r="O17" s="13" t="n"/>
      <c r="P17" s="4" t="inlineStr">
        <is>
          <t>Salah satu importir buah terbesar HK; suplai Greater China. Kontak: /en/contact-us/</t>
        </is>
      </c>
      <c r="Q17" s="14" t="inlineStr">
        <is>
          <t>https://www.sino-alliance.com/en/</t>
        </is>
      </c>
      <c r="R17" s="12" t="n"/>
    </row>
    <row r="18">
      <c r="A18" s="11" t="inlineStr">
        <is>
          <t>B016</t>
        </is>
      </c>
      <c r="B18" s="4" t="inlineStr">
        <is>
          <t>CMC Fruit Company Limited</t>
        </is>
      </c>
      <c r="C18" s="11" t="inlineStr">
        <is>
          <t>China &amp; HK</t>
        </is>
      </c>
      <c r="D18" s="11" t="inlineStr">
        <is>
          <t>Hong Kong</t>
        </is>
      </c>
      <c r="E18" s="11" t="inlineStr">
        <is>
          <t>Hong Kong</t>
        </is>
      </c>
      <c r="F18" s="11" t="inlineStr">
        <is>
          <t>Importir</t>
        </is>
      </c>
      <c r="G18" s="11" t="inlineStr">
        <is>
          <t>A</t>
        </is>
      </c>
      <c r="H18" s="4" t="inlineStr">
        <is>
          <t>Durian, lengkeng, pomelo, longkong Thailand</t>
        </is>
      </c>
      <c r="I18" s="14" t="inlineStr">
        <is>
          <t>https://cmcfruit.com/</t>
        </is>
      </c>
      <c r="J18" s="12" t="n"/>
      <c r="K18" s="12" t="n"/>
      <c r="L18" s="12" t="n"/>
      <c r="M18" s="4" t="n"/>
      <c r="N18" s="12" t="inlineStr">
        <is>
          <t>Baru</t>
        </is>
      </c>
      <c r="O18" s="13" t="n"/>
      <c r="P18" s="4" t="inlineStr">
        <is>
          <t>Impor buah tropis via udara setiap hari; 50–60 kontainer/bulan saat puncak</t>
        </is>
      </c>
      <c r="Q18" s="14" t="inlineStr">
        <is>
          <t>https://cmcfruit.com/</t>
        </is>
      </c>
      <c r="R18" s="12" t="n"/>
    </row>
    <row r="19">
      <c r="A19" s="11" t="inlineStr">
        <is>
          <t>B017</t>
        </is>
      </c>
      <c r="B19" s="4" t="inlineStr">
        <is>
          <t>Chun Sing Fresh Fruit Trading Limited</t>
        </is>
      </c>
      <c r="C19" s="11" t="inlineStr">
        <is>
          <t>China &amp; HK</t>
        </is>
      </c>
      <c r="D19" s="11" t="inlineStr">
        <is>
          <t>Hong Kong</t>
        </is>
      </c>
      <c r="E19" s="11" t="inlineStr">
        <is>
          <t>Yau Ma Tei, Kowloon</t>
        </is>
      </c>
      <c r="F19" s="11" t="inlineStr">
        <is>
          <t>Importir</t>
        </is>
      </c>
      <c r="G19" s="11" t="inlineStr">
        <is>
          <t>B</t>
        </is>
      </c>
      <c r="H19" s="4" t="inlineStr">
        <is>
          <t>Impor buah &amp; sayur; grosir dan ritel</t>
        </is>
      </c>
      <c r="I19" s="14" t="inlineStr">
        <is>
          <t>https://www.csfruit.com.hk/</t>
        </is>
      </c>
      <c r="J19" s="12" t="n"/>
      <c r="K19" s="12" t="n"/>
      <c r="L19" s="12" t="n"/>
      <c r="M19" s="4" t="inlineStr">
        <is>
          <t>Pasar Buah Yau Ma Tei</t>
        </is>
      </c>
      <c r="N19" s="12" t="inlineStr">
        <is>
          <t>Baru</t>
        </is>
      </c>
      <c r="O19" s="13" t="n"/>
      <c r="P19" s="4" t="inlineStr">
        <is>
          <t>Kontak ada di https://www.csfruit.com.hk/contact</t>
        </is>
      </c>
      <c r="Q19" s="14" t="inlineStr">
        <is>
          <t>https://www.csfruit.com.hk/about</t>
        </is>
      </c>
      <c r="R19" s="12" t="n"/>
    </row>
    <row r="20">
      <c r="A20" s="11" t="inlineStr">
        <is>
          <t>B018</t>
        </is>
      </c>
      <c r="B20" s="4" t="inlineStr">
        <is>
          <t>Bailey Fresh Fruits Co., Ltd. (Prosperity Fresh Fruits Trading)</t>
        </is>
      </c>
      <c r="C20" s="11" t="inlineStr">
        <is>
          <t>China &amp; HK</t>
        </is>
      </c>
      <c r="D20" s="11" t="inlineStr">
        <is>
          <t>Hong Kong</t>
        </is>
      </c>
      <c r="E20" s="11" t="inlineStr">
        <is>
          <t>Yau Ma Tei, Kowloon</t>
        </is>
      </c>
      <c r="F20" s="11" t="inlineStr">
        <is>
          <t>Importir</t>
        </is>
      </c>
      <c r="G20" s="11" t="inlineStr">
        <is>
          <t>B</t>
        </is>
      </c>
      <c r="H20" s="4" t="inlineStr">
        <is>
          <t>Durian dan buah tropis</t>
        </is>
      </c>
      <c r="I20" s="11" t="n"/>
      <c r="J20" s="12" t="n"/>
      <c r="K20" s="12" t="n"/>
      <c r="L20" s="12" t="n"/>
      <c r="M20" s="4" t="n"/>
      <c r="N20" s="12" t="inlineStr">
        <is>
          <t>Baru</t>
        </is>
      </c>
      <c r="O20" s="13" t="n"/>
      <c r="P20" s="4" t="inlineStr">
        <is>
          <t>±13% kiriman impor durian HK (Volza)</t>
        </is>
      </c>
      <c r="Q20" s="14" t="inlineStr">
        <is>
          <t>https://panjiva.com/Bailey-Fresh-Fruits-Co-Ltd-T-A-Prosperity-Fresh-Fruits-Trading-Co/149746110</t>
        </is>
      </c>
      <c r="R20" s="12" t="n"/>
    </row>
    <row r="21">
      <c r="A21" s="11" t="inlineStr">
        <is>
          <t>B019</t>
        </is>
      </c>
      <c r="B21" s="4" t="inlineStr">
        <is>
          <t>Wing Kee Produce Limited</t>
        </is>
      </c>
      <c r="C21" s="11" t="inlineStr">
        <is>
          <t>China &amp; HK</t>
        </is>
      </c>
      <c r="D21" s="11" t="inlineStr">
        <is>
          <t>Hong Kong</t>
        </is>
      </c>
      <c r="E21" s="11" t="inlineStr">
        <is>
          <t>Kowloon Bay</t>
        </is>
      </c>
      <c r="F21" s="11" t="inlineStr">
        <is>
          <t>Importir</t>
        </is>
      </c>
      <c r="G21" s="11" t="inlineStr">
        <is>
          <t>B</t>
        </is>
      </c>
      <c r="H21" s="4" t="inlineStr">
        <is>
          <t>Buah &amp; sayur termasuk tropis</t>
        </is>
      </c>
      <c r="I21" s="14" t="inlineStr">
        <is>
          <t>https://www.wingkee.com/</t>
        </is>
      </c>
      <c r="J21" s="12" t="n"/>
      <c r="K21" s="12" t="n"/>
      <c r="L21" s="12" t="n"/>
      <c r="M21" s="4" t="n"/>
      <c r="N21" s="12" t="inlineStr">
        <is>
          <t>Baru</t>
        </is>
      </c>
      <c r="O21" s="13" t="n"/>
      <c r="P21" s="4" t="inlineStr">
        <is>
          <t>Cold storage 50.000 sq ft; anak usaha di China. Kontak: /contact-us/</t>
        </is>
      </c>
      <c r="Q21" s="14" t="inlineStr">
        <is>
          <t>https://www.wingkee.com/about-us/</t>
        </is>
      </c>
      <c r="R21" s="12" t="n"/>
    </row>
    <row r="22">
      <c r="A22" s="11" t="inlineStr">
        <is>
          <t>B020</t>
        </is>
      </c>
      <c r="B22" s="4" t="inlineStr">
        <is>
          <t>Wah Kee Fresh Fruit &amp; Vegetable Ltd</t>
        </is>
      </c>
      <c r="C22" s="11" t="inlineStr">
        <is>
          <t>China &amp; HK</t>
        </is>
      </c>
      <c r="D22" s="11" t="inlineStr">
        <is>
          <t>Hong Kong</t>
        </is>
      </c>
      <c r="E22" s="11" t="inlineStr">
        <is>
          <t>Hong Kong</t>
        </is>
      </c>
      <c r="F22" s="11" t="inlineStr">
        <is>
          <t>Wholesaler</t>
        </is>
      </c>
      <c r="G22" s="11" t="inlineStr">
        <is>
          <t>C</t>
        </is>
      </c>
      <c r="H22" s="4" t="inlineStr">
        <is>
          <t>Buah &amp; sayur segar</t>
        </is>
      </c>
      <c r="I22" s="11" t="n"/>
      <c r="J22" s="12" t="n"/>
      <c r="K22" s="12" t="n"/>
      <c r="L22" s="12" t="n"/>
      <c r="M22" s="4" t="n"/>
      <c r="N22" s="12" t="inlineStr">
        <is>
          <t>Baru</t>
        </is>
      </c>
      <c r="O22" s="13" t="n"/>
      <c r="P22" s="4" t="inlineStr">
        <is>
          <t>Terdaftar di direktori HKTDC; lini tropis belum terkonfirmasi</t>
        </is>
      </c>
      <c r="Q22" s="14" t="inlineStr">
        <is>
          <t>https://sourcing.hktdc.com/en/Supplier-Store-Directory/Wah-Kee-Fresh-Fruit-Vegetable-Ltd/1X09P9CX</t>
        </is>
      </c>
      <c r="R22" s="12" t="n"/>
    </row>
    <row r="23">
      <c r="A23" s="11" t="inlineStr">
        <is>
          <t>B021</t>
        </is>
      </c>
      <c r="B23" s="4" t="inlineStr">
        <is>
          <t>Anusaya Fresh (Anusuya Fresh Fruits &amp; Vegetables LLC)</t>
        </is>
      </c>
      <c r="C23" s="11" t="inlineStr">
        <is>
          <t>Timur Tengah</t>
        </is>
      </c>
      <c r="D23" s="11" t="inlineStr">
        <is>
          <t>UAE</t>
        </is>
      </c>
      <c r="E23" s="11" t="inlineStr">
        <is>
          <t>Dubai (Al Aweer)</t>
        </is>
      </c>
      <c r="F23" s="11" t="inlineStr">
        <is>
          <t>Importir</t>
        </is>
      </c>
      <c r="G23" s="11" t="inlineStr">
        <is>
          <t>A</t>
        </is>
      </c>
      <c r="H23" s="4" t="inlineStr">
        <is>
          <t>Apel, jeruk, anggur + eksotis: manggis, rambutan, buah naga</t>
        </is>
      </c>
      <c r="I23" s="14" t="inlineStr">
        <is>
          <t>http://www.anusayafresh.com</t>
        </is>
      </c>
      <c r="J23" s="12" t="n"/>
      <c r="K23" s="12" t="n"/>
      <c r="L23" s="12" t="n"/>
      <c r="M23" s="4" t="inlineStr">
        <is>
          <t>Area Al Aweer Central Market, Dubai</t>
        </is>
      </c>
      <c r="N23" s="12" t="inlineStr">
        <is>
          <t>Baru</t>
        </is>
      </c>
      <c r="O23" s="13" t="n"/>
      <c r="P23" s="4" t="inlineStr">
        <is>
          <t>Secara eksplisit impor manggis &amp; rambutan; ada cabang Doha, Qatar</t>
        </is>
      </c>
      <c r="Q23" s="14" t="inlineStr">
        <is>
          <t>http://www.anusayafresh.com/aboutuae.html</t>
        </is>
      </c>
      <c r="R23" s="12" t="n"/>
    </row>
    <row r="24">
      <c r="A24" s="11" t="inlineStr">
        <is>
          <t>B022</t>
        </is>
      </c>
      <c r="B24" s="4" t="inlineStr">
        <is>
          <t>Fresh Leaf UAE</t>
        </is>
      </c>
      <c r="C24" s="11" t="inlineStr">
        <is>
          <t>Timur Tengah</t>
        </is>
      </c>
      <c r="D24" s="11" t="inlineStr">
        <is>
          <t>UAE</t>
        </is>
      </c>
      <c r="E24" s="11" t="inlineStr">
        <is>
          <t>Dubai</t>
        </is>
      </c>
      <c r="F24" s="11" t="inlineStr">
        <is>
          <t>Distributor</t>
        </is>
      </c>
      <c r="G24" s="11" t="inlineStr">
        <is>
          <t>A</t>
        </is>
      </c>
      <c r="H24" s="4" t="inlineStr">
        <is>
          <t>Kategori buah eksotis termasuk 'Mangosteen Indonesia'</t>
        </is>
      </c>
      <c r="I24" s="14" t="inlineStr">
        <is>
          <t>https://freshleafuae.com</t>
        </is>
      </c>
      <c r="J24" s="12" t="n"/>
      <c r="K24" s="12" t="n"/>
      <c r="L24" s="12" t="n"/>
      <c r="M24" s="4" t="n"/>
      <c r="N24" s="12" t="inlineStr">
        <is>
          <t>Baru</t>
        </is>
      </c>
      <c r="O24" s="13" t="n"/>
      <c r="P24" s="4" t="inlineStr">
        <is>
          <t>Sudah menjual manggis Indonesia: sangat cocok</t>
        </is>
      </c>
      <c r="Q24" s="14" t="inlineStr">
        <is>
          <t>https://freshleafuae.com/mangosteen-indonesia/</t>
        </is>
      </c>
      <c r="R24" s="12" t="n"/>
    </row>
    <row r="25">
      <c r="A25" s="11" t="inlineStr">
        <is>
          <t>B023</t>
        </is>
      </c>
      <c r="B25" s="4" t="inlineStr">
        <is>
          <t>Euto Foods Trading</t>
        </is>
      </c>
      <c r="C25" s="11" t="inlineStr">
        <is>
          <t>Timur Tengah</t>
        </is>
      </c>
      <c r="D25" s="11" t="inlineStr">
        <is>
          <t>UAE</t>
        </is>
      </c>
      <c r="E25" s="11" t="inlineStr">
        <is>
          <t>Dubai</t>
        </is>
      </c>
      <c r="F25" s="11" t="inlineStr">
        <is>
          <t>Importir</t>
        </is>
      </c>
      <c r="G25" s="11" t="inlineStr">
        <is>
          <t>A</t>
        </is>
      </c>
      <c r="H25" s="4" t="inlineStr">
        <is>
          <t>Importir buah grosir; tropis termasuk manggis</t>
        </is>
      </c>
      <c r="I25" s="14" t="inlineStr">
        <is>
          <t>https://eutofoods.com</t>
        </is>
      </c>
      <c r="J25" s="12" t="n"/>
      <c r="K25" s="12" t="n"/>
      <c r="L25" s="12" t="n"/>
      <c r="M25" s="4" t="n"/>
      <c r="N25" s="12" t="inlineStr">
        <is>
          <t>Baru</t>
        </is>
      </c>
      <c r="O25" s="13" t="n"/>
      <c r="P25" s="4" t="inlineStr">
        <is>
          <t>Menyebut sourcing manggis dari Asia</t>
        </is>
      </c>
      <c r="Q25" s="14" t="inlineStr">
        <is>
          <t>https://eutofoods.com/fruits-importer-in-uae/</t>
        </is>
      </c>
      <c r="R25" s="12" t="n"/>
    </row>
    <row r="26">
      <c r="A26" s="11" t="inlineStr">
        <is>
          <t>B024</t>
        </is>
      </c>
      <c r="B26" s="4" t="inlineStr">
        <is>
          <t>Al Yusra Foodstuff Trading LLC</t>
        </is>
      </c>
      <c r="C26" s="11" t="inlineStr">
        <is>
          <t>Timur Tengah</t>
        </is>
      </c>
      <c r="D26" s="11" t="inlineStr">
        <is>
          <t>UAE</t>
        </is>
      </c>
      <c r="E26" s="11" t="inlineStr">
        <is>
          <t>Dubai</t>
        </is>
      </c>
      <c r="F26" s="11" t="inlineStr">
        <is>
          <t>Importir</t>
        </is>
      </c>
      <c r="G26" s="11" t="inlineStr">
        <is>
          <t>A</t>
        </is>
      </c>
      <c r="H26" s="4" t="inlineStr">
        <is>
          <t>Importir, distributor, commission agent buah &amp; sayur; lini eksotis</t>
        </is>
      </c>
      <c r="I26" s="14" t="inlineStr">
        <is>
          <t>https://www.alyusrafoodstuff.com</t>
        </is>
      </c>
      <c r="J26" s="12" t="n"/>
      <c r="K26" s="12" t="n"/>
      <c r="L26" s="12" t="n"/>
      <c r="M26" s="4" t="n"/>
      <c r="N26" s="12" t="inlineStr">
        <is>
          <t>Baru</t>
        </is>
      </c>
      <c r="O26" s="13" t="n"/>
      <c r="P26" s="4" t="inlineStr">
        <is>
          <t>Sumber dari Thailand, Malaysia, Indonesia</t>
        </is>
      </c>
      <c r="Q26" s="14" t="inlineStr">
        <is>
          <t>https://www.alyusrafoodstuff.com/other-fruits-importer.php</t>
        </is>
      </c>
      <c r="R26" s="12" t="n"/>
    </row>
    <row r="27">
      <c r="A27" s="11" t="inlineStr">
        <is>
          <t>B025</t>
        </is>
      </c>
      <c r="B27" s="4" t="inlineStr">
        <is>
          <t>Source International</t>
        </is>
      </c>
      <c r="C27" s="11" t="inlineStr">
        <is>
          <t>Timur Tengah</t>
        </is>
      </c>
      <c r="D27" s="11" t="inlineStr">
        <is>
          <t>UAE</t>
        </is>
      </c>
      <c r="E27" s="11" t="inlineStr">
        <is>
          <t>Dubai</t>
        </is>
      </c>
      <c r="F27" s="11" t="inlineStr">
        <is>
          <t>Importir</t>
        </is>
      </c>
      <c r="G27" s="11" t="inlineStr">
        <is>
          <t>A</t>
        </is>
      </c>
      <c r="H27" s="4" t="inlineStr">
        <is>
          <t>Importir/distributor buah eksotis B2B</t>
        </is>
      </c>
      <c r="I27" s="14" t="inlineStr">
        <is>
          <t>https://sourceinternational.ae</t>
        </is>
      </c>
      <c r="J27" s="12" t="n"/>
      <c r="K27" s="12" t="n"/>
      <c r="L27" s="12" t="n"/>
      <c r="M27" s="4" t="n"/>
      <c r="N27" s="12" t="inlineStr">
        <is>
          <t>Baru</t>
        </is>
      </c>
      <c r="O27" s="13" t="n"/>
      <c r="P27" s="4" t="inlineStr">
        <is>
          <t>Spesialis buah eksotis</t>
        </is>
      </c>
      <c r="Q27" s="14" t="inlineStr">
        <is>
          <t>https://sourceinternational.ae/exotic-fruit-importer-uae/</t>
        </is>
      </c>
      <c r="R27" s="12" t="n"/>
    </row>
    <row r="28">
      <c r="A28" s="11" t="inlineStr">
        <is>
          <t>B026</t>
        </is>
      </c>
      <c r="B28" s="4" t="inlineStr">
        <is>
          <t>Barakat Vegetables &amp; Fruits Co. LLC</t>
        </is>
      </c>
      <c r="C28" s="11" t="inlineStr">
        <is>
          <t>Timur Tengah</t>
        </is>
      </c>
      <c r="D28" s="11" t="inlineStr">
        <is>
          <t>UAE</t>
        </is>
      </c>
      <c r="E28" s="11" t="inlineStr">
        <is>
          <t>Dubai (Al Aweer)</t>
        </is>
      </c>
      <c r="F28" s="11" t="inlineStr">
        <is>
          <t>Distributor</t>
        </is>
      </c>
      <c r="G28" s="11" t="inlineStr">
        <is>
          <t>B</t>
        </is>
      </c>
      <c r="H28" s="4" t="inlineStr">
        <is>
          <t>Importir/distributor besar (53+ negara asal); HoReCa, ritel</t>
        </is>
      </c>
      <c r="I28" s="14" t="inlineStr">
        <is>
          <t>https://barakatfresh.ae</t>
        </is>
      </c>
      <c r="J28" s="12" t="n"/>
      <c r="K28" s="12" t="n"/>
      <c r="L28" s="12" t="n"/>
      <c r="M28" s="4" t="n"/>
      <c r="N28" s="12" t="inlineStr">
        <is>
          <t>Baru</t>
        </is>
      </c>
      <c r="O28" s="13" t="n"/>
      <c r="P28" s="4" t="inlineStr">
        <is>
          <t>Peserta Gulfood 2026; ±350 truk reefer</t>
        </is>
      </c>
      <c r="Q28" s="14" t="inlineStr">
        <is>
          <t>https://www.gulfood.com/exhibitors/barakat-vegetables-fruit-company-llc-1</t>
        </is>
      </c>
      <c r="R28" s="12" t="n"/>
    </row>
    <row r="29">
      <c r="A29" s="11" t="inlineStr">
        <is>
          <t>B027</t>
        </is>
      </c>
      <c r="B29" s="4" t="inlineStr">
        <is>
          <t>Fresh Avenue Foodstuff Trading LLC</t>
        </is>
      </c>
      <c r="C29" s="11" t="inlineStr">
        <is>
          <t>Timur Tengah</t>
        </is>
      </c>
      <c r="D29" s="11" t="inlineStr">
        <is>
          <t>UAE</t>
        </is>
      </c>
      <c r="E29" s="11" t="inlineStr">
        <is>
          <t>Dubai (Al Aweer)</t>
        </is>
      </c>
      <c r="F29" s="11" t="inlineStr">
        <is>
          <t>Wholesaler</t>
        </is>
      </c>
      <c r="G29" s="11" t="inlineStr">
        <is>
          <t>B</t>
        </is>
      </c>
      <c r="H29" s="4" t="inlineStr">
        <is>
          <t>Grosir buah &amp; sayur, termasuk rambutan</t>
        </is>
      </c>
      <c r="I29" s="14" t="inlineStr">
        <is>
          <t>https://www.freshavenuefoodstufftradingllc.com</t>
        </is>
      </c>
      <c r="J29" s="12" t="n"/>
      <c r="K29" s="12" t="n"/>
      <c r="L29" s="12" t="n"/>
      <c r="M29" s="4" t="inlineStr">
        <is>
          <t>Al Aweer Central Fruit &amp; Vegetable Market</t>
        </is>
      </c>
      <c r="N29" s="12" t="inlineStr">
        <is>
          <t>Baru</t>
        </is>
      </c>
      <c r="O29" s="13" t="n"/>
      <c r="P29" s="4" t="inlineStr">
        <is>
          <t>Sudah menangani buah eksotis Asia Tenggara</t>
        </is>
      </c>
      <c r="Q29" s="14" t="inlineStr">
        <is>
          <t>https://www.freshavenuefoodstufftradingllc.com/</t>
        </is>
      </c>
      <c r="R29" s="12" t="n"/>
    </row>
    <row r="30">
      <c r="A30" s="11" t="inlineStr">
        <is>
          <t>B028</t>
        </is>
      </c>
      <c r="B30" s="4" t="inlineStr">
        <is>
          <t>MPF Foodstuff Trading (Meridian PF)</t>
        </is>
      </c>
      <c r="C30" s="11" t="inlineStr">
        <is>
          <t>Timur Tengah</t>
        </is>
      </c>
      <c r="D30" s="11" t="inlineStr">
        <is>
          <t>UAE</t>
        </is>
      </c>
      <c r="E30" s="11" t="inlineStr">
        <is>
          <t>Dubai</t>
        </is>
      </c>
      <c r="F30" s="11" t="inlineStr">
        <is>
          <t>Distributor</t>
        </is>
      </c>
      <c r="G30" s="11" t="inlineStr">
        <is>
          <t>B</t>
        </is>
      </c>
      <c r="H30" s="4" t="inlineStr">
        <is>
          <t>Buah musiman &amp; eksotis</t>
        </is>
      </c>
      <c r="I30" s="14" t="inlineStr">
        <is>
          <t>https://meridianpf.com</t>
        </is>
      </c>
      <c r="J30" s="12" t="n"/>
      <c r="K30" s="12" t="n"/>
      <c r="L30" s="12" t="n"/>
      <c r="M30" s="4" t="n"/>
      <c r="N30" s="12" t="inlineStr">
        <is>
          <t>Baru</t>
        </is>
      </c>
      <c r="O30" s="13" t="n"/>
      <c r="P30" s="4" t="inlineStr">
        <is>
          <t>Re-ekspor ke seluruh Timur Tengah</t>
        </is>
      </c>
      <c r="Q30" s="14" t="inlineStr">
        <is>
          <t>https://meridianpf.com/exporter-of-premium-seasonal-fruits-dubai/</t>
        </is>
      </c>
      <c r="R30" s="12" t="n"/>
    </row>
    <row r="31">
      <c r="A31" s="11" t="inlineStr">
        <is>
          <t>B029</t>
        </is>
      </c>
      <c r="B31" s="4" t="inlineStr">
        <is>
          <t>AJMEER General Trading LLC</t>
        </is>
      </c>
      <c r="C31" s="11" t="inlineStr">
        <is>
          <t>Timur Tengah</t>
        </is>
      </c>
      <c r="D31" s="11" t="inlineStr">
        <is>
          <t>UAE</t>
        </is>
      </c>
      <c r="E31" s="11" t="inlineStr">
        <is>
          <t>Dubai (Al Aweer)</t>
        </is>
      </c>
      <c r="F31" s="11" t="inlineStr">
        <is>
          <t>Importir</t>
        </is>
      </c>
      <c r="G31" s="11" t="inlineStr">
        <is>
          <t>B</t>
        </is>
      </c>
      <c r="H31" s="4" t="inlineStr">
        <is>
          <t>Impor buah &amp; sayur dari Asia, Eropa, Afrika; suplai hotel &amp; ritel</t>
        </is>
      </c>
      <c r="I31" s="14" t="inlineStr">
        <is>
          <t>https://ajmeer.ae</t>
        </is>
      </c>
      <c r="J31" s="12" t="n"/>
      <c r="K31" s="12" t="n"/>
      <c r="L31" s="12" t="n"/>
      <c r="M31" s="4" t="inlineStr">
        <is>
          <t>Dubai Al-Aweer Central Fruits &amp; Vegetables Market</t>
        </is>
      </c>
      <c r="N31" s="12" t="inlineStr">
        <is>
          <t>Baru</t>
        </is>
      </c>
      <c r="O31" s="13" t="n"/>
      <c r="P31" s="4" t="inlineStr">
        <is>
          <t>Sourcing Asia + distribusi HoReCa</t>
        </is>
      </c>
      <c r="Q31" s="14" t="inlineStr">
        <is>
          <t>https://ajmeer.ae/</t>
        </is>
      </c>
      <c r="R31" s="12" t="n"/>
    </row>
    <row r="32">
      <c r="A32" s="11" t="inlineStr">
        <is>
          <t>B030</t>
        </is>
      </c>
      <c r="B32" s="4" t="inlineStr">
        <is>
          <t>Shabab Al Aweer Foodstuff Trading L.L.C.</t>
        </is>
      </c>
      <c r="C32" s="11" t="inlineStr">
        <is>
          <t>Timur Tengah</t>
        </is>
      </c>
      <c r="D32" s="11" t="inlineStr">
        <is>
          <t>UAE</t>
        </is>
      </c>
      <c r="E32" s="11" t="inlineStr">
        <is>
          <t>Dubai (Al Aweer)</t>
        </is>
      </c>
      <c r="F32" s="11" t="inlineStr">
        <is>
          <t>Importir</t>
        </is>
      </c>
      <c r="G32" s="11" t="inlineStr">
        <is>
          <t>B</t>
        </is>
      </c>
      <c r="H32" s="4" t="inlineStr">
        <is>
          <t>Impor/ekspor dan suplai buah &amp; sayur</t>
        </is>
      </c>
      <c r="I32" s="14" t="inlineStr">
        <is>
          <t>https://shababalaweer.ae</t>
        </is>
      </c>
      <c r="J32" s="12" t="n"/>
      <c r="K32" s="12" t="n"/>
      <c r="L32" s="12" t="n"/>
      <c r="M32" s="4" t="inlineStr">
        <is>
          <t>Shop 23, Block 6, Fruits &amp; Vegetables Market, Al Aweer (cek ulang)</t>
        </is>
      </c>
      <c r="N32" s="12" t="inlineStr">
        <is>
          <t>Baru</t>
        </is>
      </c>
      <c r="O32" s="13" t="n"/>
      <c r="P32" s="4" t="inlineStr">
        <is>
          <t>Trader impor di Al Aweer</t>
        </is>
      </c>
      <c r="Q32" s="14" t="inlineStr">
        <is>
          <t>https://shababalaweer.ae/</t>
        </is>
      </c>
      <c r="R32" s="12" t="n"/>
    </row>
    <row r="33">
      <c r="A33" s="11" t="inlineStr">
        <is>
          <t>B031</t>
        </is>
      </c>
      <c r="B33" s="4" t="inlineStr">
        <is>
          <t>Kibsons</t>
        </is>
      </c>
      <c r="C33" s="11" t="inlineStr">
        <is>
          <t>Timur Tengah</t>
        </is>
      </c>
      <c r="D33" s="11" t="inlineStr">
        <is>
          <t>UAE</t>
        </is>
      </c>
      <c r="E33" s="11" t="inlineStr">
        <is>
          <t>Dubai (Al Aweer)</t>
        </is>
      </c>
      <c r="F33" s="11" t="inlineStr">
        <is>
          <t>E-commerce</t>
        </is>
      </c>
      <c r="G33" s="11" t="inlineStr">
        <is>
          <t>B</t>
        </is>
      </c>
      <c r="H33" s="4" t="inlineStr">
        <is>
          <t>Grocery online dengan kategori buah eksotis</t>
        </is>
      </c>
      <c r="I33" s="14" t="inlineStr">
        <is>
          <t>https://www.kibsons.com</t>
        </is>
      </c>
      <c r="J33" s="12" t="n"/>
      <c r="K33" s="12" t="n"/>
      <c r="L33" s="12" t="n"/>
      <c r="M33" s="4" t="inlineStr">
        <is>
          <t>Shop 59, Bldg 2, Fruit &amp; Vegetable Market, Aweer (cek ulang)</t>
        </is>
      </c>
      <c r="N33" s="12" t="inlineStr">
        <is>
          <t>Baru</t>
        </is>
      </c>
      <c r="O33" s="13" t="n"/>
      <c r="P33" s="4" t="inlineStr">
        <is>
          <t>Importir sekaligus ritel online</t>
        </is>
      </c>
      <c r="Q33" s="14" t="inlineStr">
        <is>
          <t>https://www.kibsons.com/en/fruits/exotics</t>
        </is>
      </c>
      <c r="R33" s="12" t="n"/>
    </row>
    <row r="34">
      <c r="A34" s="11" t="inlineStr">
        <is>
          <t>B032</t>
        </is>
      </c>
      <c r="B34" s="4" t="inlineStr">
        <is>
          <t>Al Maya Group (Al Maya Supermarkets)</t>
        </is>
      </c>
      <c r="C34" s="11" t="inlineStr">
        <is>
          <t>Timur Tengah</t>
        </is>
      </c>
      <c r="D34" s="11" t="inlineStr">
        <is>
          <t>UAE</t>
        </is>
      </c>
      <c r="E34" s="11" t="inlineStr">
        <is>
          <t>Dubai</t>
        </is>
      </c>
      <c r="F34" s="11" t="inlineStr">
        <is>
          <t>Retail/Supermarket</t>
        </is>
      </c>
      <c r="G34" s="11" t="inlineStr">
        <is>
          <t>C</t>
        </is>
      </c>
      <c r="H34" s="4" t="inlineStr">
        <is>
          <t>Rantai supermarket (±40 gerai UAE)</t>
        </is>
      </c>
      <c r="I34" s="11" t="n"/>
      <c r="J34" s="12" t="n"/>
      <c r="K34" s="12" t="n"/>
      <c r="L34" s="12" t="n"/>
      <c r="M34" s="4" t="n"/>
      <c r="N34" s="12" t="inlineStr">
        <is>
          <t>Baru</t>
        </is>
      </c>
      <c r="O34" s="13" t="n"/>
      <c r="P34" s="4" t="inlineStr">
        <is>
          <t>Tuan rumah Thai Fruits Festival 2026 (buah tropis Asia)</t>
        </is>
      </c>
      <c r="Q34" s="14" t="inlineStr">
        <is>
          <t>https://gulfnews.com/amp/story/business/corporate-news/thailand-expands-thai-fruits-food-festival-2026-campaign-through-al-maya-supermarkets-in-the-uae-1.500544329</t>
        </is>
      </c>
      <c r="R34" s="12" t="n"/>
    </row>
    <row r="35">
      <c r="A35" s="11" t="inlineStr">
        <is>
          <t>B033</t>
        </is>
      </c>
      <c r="B35" s="4" t="inlineStr">
        <is>
          <t>Sharbatly Fruit</t>
        </is>
      </c>
      <c r="C35" s="11" t="inlineStr">
        <is>
          <t>Timur Tengah</t>
        </is>
      </c>
      <c r="D35" s="11" t="inlineStr">
        <is>
          <t>Saudi Arabia</t>
        </is>
      </c>
      <c r="E35" s="11" t="inlineStr">
        <is>
          <t>Jeddah</t>
        </is>
      </c>
      <c r="F35" s="11" t="inlineStr">
        <is>
          <t>Importir</t>
        </is>
      </c>
      <c r="G35" s="11" t="inlineStr">
        <is>
          <t>B</t>
        </is>
      </c>
      <c r="H35" s="4" t="inlineStr">
        <is>
          <t>Importir/distributor produk segar premium sejak 1930-an</t>
        </is>
      </c>
      <c r="I35" s="14" t="inlineStr">
        <is>
          <t>https://sharbatlyfruit.com</t>
        </is>
      </c>
      <c r="J35" s="12" t="n"/>
      <c r="K35" s="12" t="n"/>
      <c r="L35" s="12" t="n"/>
      <c r="M35" s="4" t="n"/>
      <c r="N35" s="12" t="inlineStr">
        <is>
          <t>Baru</t>
        </is>
      </c>
      <c r="O35" s="13" t="n"/>
      <c r="P35" s="4" t="inlineStr">
        <is>
          <t>Salah satu rumah buah terbesar di KSA</t>
        </is>
      </c>
      <c r="Q35" s="14" t="inlineStr">
        <is>
          <t>https://sharbatlyfruit.com/</t>
        </is>
      </c>
      <c r="R35" s="12" t="n"/>
    </row>
    <row r="36">
      <c r="A36" s="11" t="inlineStr">
        <is>
          <t>B034</t>
        </is>
      </c>
      <c r="B36" s="4" t="inlineStr">
        <is>
          <t>Shrayan Al Jazeera Fruits &amp; Vegetables Trading</t>
        </is>
      </c>
      <c r="C36" s="11" t="inlineStr">
        <is>
          <t>Timur Tengah</t>
        </is>
      </c>
      <c r="D36" s="11" t="inlineStr">
        <is>
          <t>Saudi Arabia</t>
        </is>
      </c>
      <c r="E36" s="11" t="inlineStr">
        <is>
          <t>Jeddah</t>
        </is>
      </c>
      <c r="F36" s="11" t="inlineStr">
        <is>
          <t>Importir</t>
        </is>
      </c>
      <c r="G36" s="11" t="inlineStr">
        <is>
          <t>B</t>
        </is>
      </c>
      <c r="H36" s="4" t="inlineStr">
        <is>
          <t>Impor/ekspor buah &amp; sayur sejak 2009</t>
        </is>
      </c>
      <c r="I36" s="14" t="inlineStr">
        <is>
          <t>https://shrayanaljazeera.com</t>
        </is>
      </c>
      <c r="J36" s="12" t="n"/>
      <c r="K36" s="12" t="n"/>
      <c r="L36" s="12" t="n"/>
      <c r="M36" s="4" t="inlineStr">
        <is>
          <t>Panorama Centre, office-5, Umm Al Qura St, Safa, Jeddah (cek ulang)</t>
        </is>
      </c>
      <c r="N36" s="12" t="inlineStr">
        <is>
          <t>Baru</t>
        </is>
      </c>
      <c r="O36" s="13" t="n"/>
      <c r="P36" s="4" t="inlineStr">
        <is>
          <t>Mengklaim importir buah &amp; sayur terbesar di KSA</t>
        </is>
      </c>
      <c r="Q36" s="14" t="inlineStr">
        <is>
          <t>https://shrayanaljazeera.com/</t>
        </is>
      </c>
      <c r="R36" s="12" t="n"/>
    </row>
    <row r="37">
      <c r="A37" s="11" t="inlineStr">
        <is>
          <t>B035</t>
        </is>
      </c>
      <c r="B37" s="4" t="inlineStr">
        <is>
          <t>AFDAN Company for Fruits and Vegetables Trading</t>
        </is>
      </c>
      <c r="C37" s="11" t="inlineStr">
        <is>
          <t>Timur Tengah</t>
        </is>
      </c>
      <c r="D37" s="11" t="inlineStr">
        <is>
          <t>Saudi Arabia</t>
        </is>
      </c>
      <c r="E37" s="11" t="inlineStr">
        <is>
          <t>Riyadh</t>
        </is>
      </c>
      <c r="F37" s="11" t="inlineStr">
        <is>
          <t>Importir</t>
        </is>
      </c>
      <c r="G37" s="11" t="inlineStr">
        <is>
          <t>B</t>
        </is>
      </c>
      <c r="H37" s="4" t="inlineStr">
        <is>
          <t>Pengadaan/impor global buah &amp; sayur</t>
        </is>
      </c>
      <c r="I37" s="14" t="inlineStr">
        <is>
          <t>https://www.afdan.sa/en/</t>
        </is>
      </c>
      <c r="J37" s="12" t="n"/>
      <c r="K37" s="12" t="n"/>
      <c r="L37" s="12" t="n"/>
      <c r="M37" s="4" t="n"/>
      <c r="N37" s="12" t="inlineStr">
        <is>
          <t>Baru</t>
        </is>
      </c>
      <c r="O37" s="13" t="n"/>
      <c r="P37" s="4" t="inlineStr">
        <is>
          <t>Importir berbasis Riyadh</t>
        </is>
      </c>
      <c r="Q37" s="14" t="inlineStr">
        <is>
          <t>https://www.afdan.sa/en/</t>
        </is>
      </c>
      <c r="R37" s="12" t="n"/>
    </row>
    <row r="38">
      <c r="A38" s="11" t="inlineStr">
        <is>
          <t>B036</t>
        </is>
      </c>
      <c r="B38" s="4" t="inlineStr">
        <is>
          <t>BlissBerrys</t>
        </is>
      </c>
      <c r="C38" s="11" t="inlineStr">
        <is>
          <t>Timur Tengah</t>
        </is>
      </c>
      <c r="D38" s="11" t="inlineStr">
        <is>
          <t>Saudi Arabia</t>
        </is>
      </c>
      <c r="E38" s="11" t="inlineStr">
        <is>
          <t>Riyadh/Jeddah/Dammam</t>
        </is>
      </c>
      <c r="F38" s="11" t="inlineStr">
        <is>
          <t>Distributor</t>
        </is>
      </c>
      <c r="G38" s="11" t="inlineStr">
        <is>
          <t>B</t>
        </is>
      </c>
      <c r="H38" s="4" t="inlineStr">
        <is>
          <t>Alpukat, mangga, nanas, beri, jeruk ke supermarket &amp; HoReCa</t>
        </is>
      </c>
      <c r="I38" s="14" t="inlineStr">
        <is>
          <t>https://blissberrys.com</t>
        </is>
      </c>
      <c r="J38" s="12" t="n"/>
      <c r="K38" s="12" t="n"/>
      <c r="L38" s="12" t="n"/>
      <c r="M38" s="4" t="n"/>
      <c r="N38" s="12" t="inlineStr">
        <is>
          <t>Baru</t>
        </is>
      </c>
      <c r="O38" s="13" t="n"/>
      <c r="P38" s="4" t="inlineStr">
        <is>
          <t>Distributor buah tropis cakupan nasional</t>
        </is>
      </c>
      <c r="Q38" s="14" t="inlineStr">
        <is>
          <t>https://blissberrys.com/</t>
        </is>
      </c>
      <c r="R38" s="12" t="n"/>
    </row>
    <row r="39">
      <c r="A39" s="11" t="inlineStr">
        <is>
          <t>B037</t>
        </is>
      </c>
      <c r="B39" s="4" t="inlineStr">
        <is>
          <t>Tamimi Markets</t>
        </is>
      </c>
      <c r="C39" s="11" t="inlineStr">
        <is>
          <t>Timur Tengah</t>
        </is>
      </c>
      <c r="D39" s="11" t="inlineStr">
        <is>
          <t>Saudi Arabia</t>
        </is>
      </c>
      <c r="E39" s="11" t="inlineStr">
        <is>
          <t>Al Khobar</t>
        </is>
      </c>
      <c r="F39" s="11" t="inlineStr">
        <is>
          <t>Retail/Supermarket</t>
        </is>
      </c>
      <c r="G39" s="11" t="inlineStr">
        <is>
          <t>C</t>
        </is>
      </c>
      <c r="H39" s="4" t="inlineStr">
        <is>
          <t>Supermarket premium, impor langsung</t>
        </is>
      </c>
      <c r="I39" s="14" t="inlineStr">
        <is>
          <t>https://shop.tamimimarkets.com</t>
        </is>
      </c>
      <c r="J39" s="12" t="n"/>
      <c r="K39" s="12" t="n"/>
      <c r="L39" s="12" t="n"/>
      <c r="M39" s="4" t="n"/>
      <c r="N39" s="12" t="inlineStr">
        <is>
          <t>Baru</t>
        </is>
      </c>
      <c r="O39" s="13" t="n"/>
      <c r="P39" s="4" t="inlineStr">
        <is>
          <t>Ritel premium &amp; importir langsung</t>
        </is>
      </c>
      <c r="Q39" s="14" t="inlineStr">
        <is>
          <t>https://www.cbinsights.com/company/tamimi-markets</t>
        </is>
      </c>
      <c r="R39" s="12" t="n"/>
    </row>
    <row r="40">
      <c r="A40" s="11" t="inlineStr">
        <is>
          <t>B038</t>
        </is>
      </c>
      <c r="B40" s="4" t="inlineStr">
        <is>
          <t>Al Shahabi Trading Co.</t>
        </is>
      </c>
      <c r="C40" s="11" t="inlineStr">
        <is>
          <t>Timur Tengah</t>
        </is>
      </c>
      <c r="D40" s="11" t="inlineStr">
        <is>
          <t>Qatar</t>
        </is>
      </c>
      <c r="E40" s="11" t="inlineStr">
        <is>
          <t>Doha</t>
        </is>
      </c>
      <c r="F40" s="11" t="inlineStr">
        <is>
          <t>Importir</t>
        </is>
      </c>
      <c r="G40" s="11" t="inlineStr">
        <is>
          <t>B</t>
        </is>
      </c>
      <c r="H40" s="4" t="inlineStr">
        <is>
          <t>Importir buah &amp; sayur, salah satu tertua di Qatar</t>
        </is>
      </c>
      <c r="I40" s="14" t="inlineStr">
        <is>
          <t>https://alshahabifruits.com</t>
        </is>
      </c>
      <c r="J40" s="12" t="n"/>
      <c r="K40" s="12" t="n"/>
      <c r="L40" s="12" t="n"/>
      <c r="M40" s="4" t="n"/>
      <c r="N40" s="12" t="inlineStr">
        <is>
          <t>Baru</t>
        </is>
      </c>
      <c r="O40" s="13" t="n"/>
      <c r="P40" s="4" t="inlineStr">
        <is>
          <t>Importir mapan di Qatar</t>
        </is>
      </c>
      <c r="Q40" s="14" t="inlineStr">
        <is>
          <t>https://alshahabifruits.com/</t>
        </is>
      </c>
      <c r="R40" s="12" t="n"/>
    </row>
    <row r="41">
      <c r="A41" s="11" t="inlineStr">
        <is>
          <t>B039</t>
        </is>
      </c>
      <c r="B41" s="4" t="inlineStr">
        <is>
          <t>World Fruits Centre</t>
        </is>
      </c>
      <c r="C41" s="11" t="inlineStr">
        <is>
          <t>Timur Tengah</t>
        </is>
      </c>
      <c r="D41" s="11" t="inlineStr">
        <is>
          <t>Qatar</t>
        </is>
      </c>
      <c r="E41" s="11" t="inlineStr">
        <is>
          <t>Doha</t>
        </is>
      </c>
      <c r="F41" s="11" t="inlineStr">
        <is>
          <t>Importir</t>
        </is>
      </c>
      <c r="G41" s="11" t="inlineStr">
        <is>
          <t>B</t>
        </is>
      </c>
      <c r="H41" s="4" t="inlineStr">
        <is>
          <t>Importir buah &amp; sayur untuk hotel, food service, supermarket</t>
        </is>
      </c>
      <c r="I41" s="14" t="inlineStr">
        <is>
          <t>https://www.wfc-qatar.com</t>
        </is>
      </c>
      <c r="J41" s="12" t="n"/>
      <c r="K41" s="12" t="n"/>
      <c r="L41" s="12" t="n"/>
      <c r="M41" s="4" t="n"/>
      <c r="N41" s="12" t="inlineStr">
        <is>
          <t>Baru</t>
        </is>
      </c>
      <c r="O41" s="13" t="n"/>
      <c r="P41" s="4" t="inlineStr">
        <is>
          <t>Mengklaim importir buah &amp; sayur terbesar di Qatar</t>
        </is>
      </c>
      <c r="Q41" s="14" t="inlineStr">
        <is>
          <t>https://www.wfc-qatar.com/</t>
        </is>
      </c>
      <c r="R41" s="12" t="n"/>
    </row>
    <row r="42">
      <c r="A42" s="11" t="inlineStr">
        <is>
          <t>B040</t>
        </is>
      </c>
      <c r="B42" s="4" t="inlineStr">
        <is>
          <t>Royal Fresh Fruits</t>
        </is>
      </c>
      <c r="C42" s="11" t="inlineStr">
        <is>
          <t>Timur Tengah</t>
        </is>
      </c>
      <c r="D42" s="11" t="inlineStr">
        <is>
          <t>Qatar</t>
        </is>
      </c>
      <c r="E42" s="11" t="inlineStr">
        <is>
          <t>Doha</t>
        </is>
      </c>
      <c r="F42" s="11" t="inlineStr">
        <is>
          <t>Wholesaler</t>
        </is>
      </c>
      <c r="G42" s="11" t="inlineStr">
        <is>
          <t>B</t>
        </is>
      </c>
      <c r="H42" s="4" t="inlineStr">
        <is>
          <t>Importir/grosir dari Eropa, Asia, Afrika, Australia</t>
        </is>
      </c>
      <c r="I42" s="14" t="inlineStr">
        <is>
          <t>https://rff.qa</t>
        </is>
      </c>
      <c r="J42" s="12" t="n"/>
      <c r="K42" s="12" t="n"/>
      <c r="L42" s="12" t="n"/>
      <c r="M42" s="4" t="n"/>
      <c r="N42" s="12" t="inlineStr">
        <is>
          <t>Baru</t>
        </is>
      </c>
      <c r="O42" s="13" t="n"/>
      <c r="P42" s="4" t="inlineStr">
        <is>
          <t>Punya sourcing dari Asia</t>
        </is>
      </c>
      <c r="Q42" s="14" t="inlineStr">
        <is>
          <t>https://rff.qa/</t>
        </is>
      </c>
      <c r="R42" s="12" t="n"/>
    </row>
    <row r="43">
      <c r="A43" s="11" t="inlineStr">
        <is>
          <t>B041</t>
        </is>
      </c>
      <c r="B43" s="4" t="inlineStr">
        <is>
          <t>Redcolt Trading</t>
        </is>
      </c>
      <c r="C43" s="11" t="inlineStr">
        <is>
          <t>Timur Tengah</t>
        </is>
      </c>
      <c r="D43" s="11" t="inlineStr">
        <is>
          <t>Qatar</t>
        </is>
      </c>
      <c r="E43" s="11" t="inlineStr">
        <is>
          <t>Doha</t>
        </is>
      </c>
      <c r="F43" s="11" t="inlineStr">
        <is>
          <t>Importir</t>
        </is>
      </c>
      <c r="G43" s="11" t="inlineStr">
        <is>
          <t>C</t>
        </is>
      </c>
      <c r="H43" s="4" t="inlineStr">
        <is>
          <t>Buah, sayur, produk makanan</t>
        </is>
      </c>
      <c r="I43" s="14" t="inlineStr">
        <is>
          <t>https://redcoltqatar.com</t>
        </is>
      </c>
      <c r="J43" s="12" t="n"/>
      <c r="K43" s="12" t="n"/>
      <c r="L43" s="12" t="n"/>
      <c r="M43" s="4" t="n"/>
      <c r="N43" s="12" t="inlineStr">
        <is>
          <t>Baru</t>
        </is>
      </c>
      <c r="O43" s="13" t="n"/>
      <c r="P43" s="4" t="inlineStr">
        <is>
          <t>Importir/grosir Qatar</t>
        </is>
      </c>
      <c r="Q43" s="14" t="inlineStr">
        <is>
          <t>https://redcoltqatar.com/</t>
        </is>
      </c>
      <c r="R43" s="12" t="n"/>
    </row>
    <row r="44">
      <c r="A44" s="11" t="inlineStr">
        <is>
          <t>B042</t>
        </is>
      </c>
      <c r="B44" s="4" t="inlineStr">
        <is>
          <t>Fresh Fruit Oman</t>
        </is>
      </c>
      <c r="C44" s="11" t="inlineStr">
        <is>
          <t>Timur Tengah</t>
        </is>
      </c>
      <c r="D44" s="11" t="inlineStr">
        <is>
          <t>Oman</t>
        </is>
      </c>
      <c r="E44" s="11" t="inlineStr">
        <is>
          <t>Muscat</t>
        </is>
      </c>
      <c r="F44" s="11" t="inlineStr">
        <is>
          <t>Importir</t>
        </is>
      </c>
      <c r="G44" s="11" t="inlineStr">
        <is>
          <t>C</t>
        </is>
      </c>
      <c r="H44" s="4" t="inlineStr">
        <is>
          <t>Importir, grosir, manajemen ritel buah &amp; sayur</t>
        </is>
      </c>
      <c r="I44" s="14" t="inlineStr">
        <is>
          <t>https://freshfruitoman.com</t>
        </is>
      </c>
      <c r="J44" s="12" t="n"/>
      <c r="K44" s="12" t="n"/>
      <c r="L44" s="12" t="n"/>
      <c r="M44" s="4" t="n"/>
      <c r="N44" s="12" t="inlineStr">
        <is>
          <t>Baru</t>
        </is>
      </c>
      <c r="O44" s="13" t="n"/>
      <c r="P44" s="4" t="inlineStr">
        <is>
          <t>Pasar grosir Muscat pindah ke Khazaen Economic City (Jun 2024)</t>
        </is>
      </c>
      <c r="Q44" s="14" t="inlineStr">
        <is>
          <t>https://freshfruitoman.com/</t>
        </is>
      </c>
      <c r="R44" s="12" t="n"/>
    </row>
    <row r="45">
      <c r="A45" s="11" t="inlineStr">
        <is>
          <t>B043</t>
        </is>
      </c>
      <c r="B45" s="4" t="inlineStr">
        <is>
          <t>Suma Fruits International Co. WLL</t>
        </is>
      </c>
      <c r="C45" s="11" t="inlineStr">
        <is>
          <t>Timur Tengah</t>
        </is>
      </c>
      <c r="D45" s="11" t="inlineStr">
        <is>
          <t>Kuwait</t>
        </is>
      </c>
      <c r="E45" s="11" t="inlineStr">
        <is>
          <t>Kuwait City (Ardhiya)</t>
        </is>
      </c>
      <c r="F45" s="11" t="inlineStr">
        <is>
          <t>Importir</t>
        </is>
      </c>
      <c r="G45" s="11" t="inlineStr">
        <is>
          <t>B</t>
        </is>
      </c>
      <c r="H45" s="4" t="inlineStr">
        <is>
          <t>Nanas, mangga, plum; asal Filipina/Vietnam/Sri Lanka</t>
        </is>
      </c>
      <c r="I45" s="14" t="inlineStr">
        <is>
          <t>https://www.sumafruits.com/en</t>
        </is>
      </c>
      <c r="J45" s="12" t="n"/>
      <c r="K45" s="12" t="n"/>
      <c r="L45" s="12" t="n"/>
      <c r="M45" s="4" t="n"/>
      <c r="N45" s="12" t="inlineStr">
        <is>
          <t>Baru</t>
        </is>
      </c>
      <c r="O45" s="13" t="n"/>
      <c r="P45" s="4" t="inlineStr">
        <is>
          <t>Disebut importir buah terbesar Kuwait; sudah beli dari Asia Tenggara; cold store 8.000 m²</t>
        </is>
      </c>
      <c r="Q45" s="14" t="inlineStr">
        <is>
          <t>https://bestfoodimporters.com/company/suma-fruits-international/</t>
        </is>
      </c>
      <c r="R45" s="12" t="n"/>
    </row>
    <row r="46">
      <c r="A46" s="11" t="inlineStr">
        <is>
          <t>B044</t>
        </is>
      </c>
      <c r="B46" s="4" t="inlineStr">
        <is>
          <t>Alghanim Sons Group – Fresh Produce</t>
        </is>
      </c>
      <c r="C46" s="11" t="inlineStr">
        <is>
          <t>Timur Tengah</t>
        </is>
      </c>
      <c r="D46" s="11" t="inlineStr">
        <is>
          <t>Kuwait</t>
        </is>
      </c>
      <c r="E46" s="11" t="inlineStr">
        <is>
          <t>Kuwait City</t>
        </is>
      </c>
      <c r="F46" s="11" t="inlineStr">
        <is>
          <t>Importir</t>
        </is>
      </c>
      <c r="G46" s="11" t="inlineStr">
        <is>
          <t>C</t>
        </is>
      </c>
      <c r="H46" s="4" t="inlineStr">
        <is>
          <t>Divisi impor/distribusi produk segar</t>
        </is>
      </c>
      <c r="I46" s="14" t="inlineStr">
        <is>
          <t>https://www.alghanimsons.com/fresh-produce</t>
        </is>
      </c>
      <c r="J46" s="12" t="n"/>
      <c r="K46" s="12" t="n"/>
      <c r="L46" s="12" t="n"/>
      <c r="M46" s="4" t="n"/>
      <c r="N46" s="12" t="inlineStr">
        <is>
          <t>Baru</t>
        </is>
      </c>
      <c r="O46" s="13" t="n"/>
      <c r="P46" s="4" t="inlineStr">
        <is>
          <t>Grup besar Kuwait</t>
        </is>
      </c>
      <c r="Q46" s="14" t="inlineStr">
        <is>
          <t>https://www.alghanimsons.com/fresh-produce</t>
        </is>
      </c>
      <c r="R46" s="12" t="n"/>
    </row>
    <row r="47">
      <c r="A47" s="11" t="inlineStr">
        <is>
          <t>B045</t>
        </is>
      </c>
      <c r="B47" s="4" t="inlineStr">
        <is>
          <t>AlQatari Fruits Company W.L.L.</t>
        </is>
      </c>
      <c r="C47" s="11" t="inlineStr">
        <is>
          <t>Timur Tengah</t>
        </is>
      </c>
      <c r="D47" s="11" t="inlineStr">
        <is>
          <t>Bahrain</t>
        </is>
      </c>
      <c r="E47" s="11" t="inlineStr">
        <is>
          <t>Manama</t>
        </is>
      </c>
      <c r="F47" s="11" t="inlineStr">
        <is>
          <t>Importir</t>
        </is>
      </c>
      <c r="G47" s="11" t="inlineStr">
        <is>
          <t>B</t>
        </is>
      </c>
      <c r="H47" s="4" t="inlineStr">
        <is>
          <t>Impor, re-ekspor, grosir buah &amp; sayur sejak 1943</t>
        </is>
      </c>
      <c r="I47" s="14" t="inlineStr">
        <is>
          <t>https://www.alqatarifruits.com</t>
        </is>
      </c>
      <c r="J47" s="12" t="n"/>
      <c r="K47" s="12" t="n"/>
      <c r="L47" s="12" t="n"/>
      <c r="M47" s="4" t="n"/>
      <c r="N47" s="12" t="inlineStr">
        <is>
          <t>Baru</t>
        </is>
      </c>
      <c r="O47" s="13" t="n"/>
      <c r="P47" s="4" t="inlineStr">
        <is>
          <t>Hub re-ekspor ke KSA, Qatar, Oman, Kuwait, Irak</t>
        </is>
      </c>
      <c r="Q47" s="14" t="inlineStr">
        <is>
          <t>https://www.alqatarifruits.com/about.html</t>
        </is>
      </c>
      <c r="R47" s="12" t="n"/>
    </row>
  </sheetData>
  <conditionalFormatting sqref="G3:G247">
    <cfRule type="cellIs" priority="1" operator="equal" dxfId="0">
      <formula>"A"</formula>
    </cfRule>
    <cfRule type="cellIs" priority="2" operator="equal" dxfId="1">
      <formula>"B"</formula>
    </cfRule>
    <cfRule type="cellIs" priority="3" operator="equal" dxfId="2">
      <formula>"C"</formula>
    </cfRule>
  </conditionalFormatting>
  <conditionalFormatting sqref="N3:N247">
    <cfRule type="cellIs" priority="4" operator="equal" dxfId="3">
      <formula>"Deal"</formula>
    </cfRule>
  </conditionalFormatting>
  <conditionalFormatting sqref="O3:O247">
    <cfRule type="expression" priority="5" dxfId="4">
      <formula>AND(O3&lt;&gt;"",O3&lt;=TODAY(),N3&lt;&gt;"Deal",N3&lt;&gt;"Tidak Tertarik")</formula>
    </cfRule>
  </conditionalFormatting>
  <dataValidations count="3">
    <dataValidation sqref="N3:N247" showDropDown="0" showInputMessage="0" showErrorMessage="0" allowBlank="1" type="list">
      <formula1>"Baru,Dihubungi,Negosiasi,Kirim Sampel,Deal,Tidak Tertarik"</formula1>
    </dataValidation>
    <dataValidation sqref="G3:G247" showDropDown="0" showInputMessage="0" showErrorMessage="0" allowBlank="0" type="list">
      <formula1>"A,B,C"</formula1>
    </dataValidation>
    <dataValidation sqref="F3:F247" showDropDown="0" showInputMessage="0" showErrorMessage="0" allowBlank="0" type="list">
      <formula1>"Importir,Distributor,Wholesaler,Retail/Supermarket,E-commerce"</formula1>
    </dataValidation>
  </dataValidations>
  <hyperlinks>
    <hyperlink xmlns:r="http://schemas.openxmlformats.org/officeDocument/2006/relationships" ref="Q3" r:id="rId1"/>
    <hyperlink xmlns:r="http://schemas.openxmlformats.org/officeDocument/2006/relationships" ref="Q4" r:id="rId2"/>
    <hyperlink xmlns:r="http://schemas.openxmlformats.org/officeDocument/2006/relationships" ref="I5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I9" r:id="rId8"/>
    <hyperlink xmlns:r="http://schemas.openxmlformats.org/officeDocument/2006/relationships" ref="Q9" r:id="rId9"/>
    <hyperlink xmlns:r="http://schemas.openxmlformats.org/officeDocument/2006/relationships" ref="Q10" r:id="rId10"/>
    <hyperlink xmlns:r="http://schemas.openxmlformats.org/officeDocument/2006/relationships" ref="I11" r:id="rId11"/>
    <hyperlink xmlns:r="http://schemas.openxmlformats.org/officeDocument/2006/relationships" ref="Q11" r:id="rId12"/>
    <hyperlink xmlns:r="http://schemas.openxmlformats.org/officeDocument/2006/relationships" ref="I12" r:id="rId13"/>
    <hyperlink xmlns:r="http://schemas.openxmlformats.org/officeDocument/2006/relationships" ref="Q12" r:id="rId14"/>
    <hyperlink xmlns:r="http://schemas.openxmlformats.org/officeDocument/2006/relationships" ref="Q13" r:id="rId15"/>
    <hyperlink xmlns:r="http://schemas.openxmlformats.org/officeDocument/2006/relationships" ref="Q14" r:id="rId16"/>
    <hyperlink xmlns:r="http://schemas.openxmlformats.org/officeDocument/2006/relationships" ref="Q15" r:id="rId17"/>
    <hyperlink xmlns:r="http://schemas.openxmlformats.org/officeDocument/2006/relationships" ref="Q16" r:id="rId18"/>
    <hyperlink xmlns:r="http://schemas.openxmlformats.org/officeDocument/2006/relationships" ref="I17" r:id="rId19"/>
    <hyperlink xmlns:r="http://schemas.openxmlformats.org/officeDocument/2006/relationships" ref="Q17" r:id="rId20"/>
    <hyperlink xmlns:r="http://schemas.openxmlformats.org/officeDocument/2006/relationships" ref="I18" r:id="rId21"/>
    <hyperlink xmlns:r="http://schemas.openxmlformats.org/officeDocument/2006/relationships" ref="Q18" r:id="rId22"/>
    <hyperlink xmlns:r="http://schemas.openxmlformats.org/officeDocument/2006/relationships" ref="I19" r:id="rId23"/>
    <hyperlink xmlns:r="http://schemas.openxmlformats.org/officeDocument/2006/relationships" ref="Q19" r:id="rId24"/>
    <hyperlink xmlns:r="http://schemas.openxmlformats.org/officeDocument/2006/relationships" ref="Q20" r:id="rId25"/>
    <hyperlink xmlns:r="http://schemas.openxmlformats.org/officeDocument/2006/relationships" ref="I21" r:id="rId26"/>
    <hyperlink xmlns:r="http://schemas.openxmlformats.org/officeDocument/2006/relationships" ref="Q21" r:id="rId27"/>
    <hyperlink xmlns:r="http://schemas.openxmlformats.org/officeDocument/2006/relationships" ref="Q22" r:id="rId28"/>
    <hyperlink xmlns:r="http://schemas.openxmlformats.org/officeDocument/2006/relationships" ref="I23" r:id="rId29"/>
    <hyperlink xmlns:r="http://schemas.openxmlformats.org/officeDocument/2006/relationships" ref="Q23" r:id="rId30"/>
    <hyperlink xmlns:r="http://schemas.openxmlformats.org/officeDocument/2006/relationships" ref="I24" r:id="rId31"/>
    <hyperlink xmlns:r="http://schemas.openxmlformats.org/officeDocument/2006/relationships" ref="Q24" r:id="rId32"/>
    <hyperlink xmlns:r="http://schemas.openxmlformats.org/officeDocument/2006/relationships" ref="I25" r:id="rId33"/>
    <hyperlink xmlns:r="http://schemas.openxmlformats.org/officeDocument/2006/relationships" ref="Q25" r:id="rId34"/>
    <hyperlink xmlns:r="http://schemas.openxmlformats.org/officeDocument/2006/relationships" ref="I26" r:id="rId35"/>
    <hyperlink xmlns:r="http://schemas.openxmlformats.org/officeDocument/2006/relationships" ref="Q26" r:id="rId36"/>
    <hyperlink xmlns:r="http://schemas.openxmlformats.org/officeDocument/2006/relationships" ref="I27" r:id="rId37"/>
    <hyperlink xmlns:r="http://schemas.openxmlformats.org/officeDocument/2006/relationships" ref="Q27" r:id="rId38"/>
    <hyperlink xmlns:r="http://schemas.openxmlformats.org/officeDocument/2006/relationships" ref="I28" r:id="rId39"/>
    <hyperlink xmlns:r="http://schemas.openxmlformats.org/officeDocument/2006/relationships" ref="Q28" r:id="rId40"/>
    <hyperlink xmlns:r="http://schemas.openxmlformats.org/officeDocument/2006/relationships" ref="I29" r:id="rId41"/>
    <hyperlink xmlns:r="http://schemas.openxmlformats.org/officeDocument/2006/relationships" ref="Q29" r:id="rId42"/>
    <hyperlink xmlns:r="http://schemas.openxmlformats.org/officeDocument/2006/relationships" ref="I30" r:id="rId43"/>
    <hyperlink xmlns:r="http://schemas.openxmlformats.org/officeDocument/2006/relationships" ref="Q30" r:id="rId44"/>
    <hyperlink xmlns:r="http://schemas.openxmlformats.org/officeDocument/2006/relationships" ref="I31" r:id="rId45"/>
    <hyperlink xmlns:r="http://schemas.openxmlformats.org/officeDocument/2006/relationships" ref="Q31" r:id="rId46"/>
    <hyperlink xmlns:r="http://schemas.openxmlformats.org/officeDocument/2006/relationships" ref="I32" r:id="rId47"/>
    <hyperlink xmlns:r="http://schemas.openxmlformats.org/officeDocument/2006/relationships" ref="Q32" r:id="rId48"/>
    <hyperlink xmlns:r="http://schemas.openxmlformats.org/officeDocument/2006/relationships" ref="I33" r:id="rId49"/>
    <hyperlink xmlns:r="http://schemas.openxmlformats.org/officeDocument/2006/relationships" ref="Q33" r:id="rId50"/>
    <hyperlink xmlns:r="http://schemas.openxmlformats.org/officeDocument/2006/relationships" ref="Q34" r:id="rId51"/>
    <hyperlink xmlns:r="http://schemas.openxmlformats.org/officeDocument/2006/relationships" ref="I35" r:id="rId52"/>
    <hyperlink xmlns:r="http://schemas.openxmlformats.org/officeDocument/2006/relationships" ref="Q35" r:id="rId53"/>
    <hyperlink xmlns:r="http://schemas.openxmlformats.org/officeDocument/2006/relationships" ref="I36" r:id="rId54"/>
    <hyperlink xmlns:r="http://schemas.openxmlformats.org/officeDocument/2006/relationships" ref="Q36" r:id="rId55"/>
    <hyperlink xmlns:r="http://schemas.openxmlformats.org/officeDocument/2006/relationships" ref="I37" r:id="rId56"/>
    <hyperlink xmlns:r="http://schemas.openxmlformats.org/officeDocument/2006/relationships" ref="Q37" r:id="rId57"/>
    <hyperlink xmlns:r="http://schemas.openxmlformats.org/officeDocument/2006/relationships" ref="I38" r:id="rId58"/>
    <hyperlink xmlns:r="http://schemas.openxmlformats.org/officeDocument/2006/relationships" ref="Q38" r:id="rId59"/>
    <hyperlink xmlns:r="http://schemas.openxmlformats.org/officeDocument/2006/relationships" ref="I39" r:id="rId60"/>
    <hyperlink xmlns:r="http://schemas.openxmlformats.org/officeDocument/2006/relationships" ref="Q39" r:id="rId61"/>
    <hyperlink xmlns:r="http://schemas.openxmlformats.org/officeDocument/2006/relationships" ref="I40" r:id="rId62"/>
    <hyperlink xmlns:r="http://schemas.openxmlformats.org/officeDocument/2006/relationships" ref="Q40" r:id="rId63"/>
    <hyperlink xmlns:r="http://schemas.openxmlformats.org/officeDocument/2006/relationships" ref="I41" r:id="rId64"/>
    <hyperlink xmlns:r="http://schemas.openxmlformats.org/officeDocument/2006/relationships" ref="Q41" r:id="rId65"/>
    <hyperlink xmlns:r="http://schemas.openxmlformats.org/officeDocument/2006/relationships" ref="I42" r:id="rId66"/>
    <hyperlink xmlns:r="http://schemas.openxmlformats.org/officeDocument/2006/relationships" ref="Q42" r:id="rId67"/>
    <hyperlink xmlns:r="http://schemas.openxmlformats.org/officeDocument/2006/relationships" ref="I43" r:id="rId68"/>
    <hyperlink xmlns:r="http://schemas.openxmlformats.org/officeDocument/2006/relationships" ref="Q43" r:id="rId69"/>
    <hyperlink xmlns:r="http://schemas.openxmlformats.org/officeDocument/2006/relationships" ref="I44" r:id="rId70"/>
    <hyperlink xmlns:r="http://schemas.openxmlformats.org/officeDocument/2006/relationships" ref="Q44" r:id="rId71"/>
    <hyperlink xmlns:r="http://schemas.openxmlformats.org/officeDocument/2006/relationships" ref="I45" r:id="rId72"/>
    <hyperlink xmlns:r="http://schemas.openxmlformats.org/officeDocument/2006/relationships" ref="Q45" r:id="rId73"/>
    <hyperlink xmlns:r="http://schemas.openxmlformats.org/officeDocument/2006/relationships" ref="I46" r:id="rId74"/>
    <hyperlink xmlns:r="http://schemas.openxmlformats.org/officeDocument/2006/relationships" ref="Q46" r:id="rId75"/>
    <hyperlink xmlns:r="http://schemas.openxmlformats.org/officeDocument/2006/relationships" ref="I47" r:id="rId76"/>
    <hyperlink xmlns:r="http://schemas.openxmlformats.org/officeDocument/2006/relationships" ref="Q47" r:id="rId77"/>
  </hyperlink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78"/>
  </tableParts>
</worksheet>
</file>

<file path=xl/worksheets/sheet3.xml><?xml version="1.0" encoding="utf-8"?>
<worksheet xmlns="http://schemas.openxmlformats.org/spreadsheetml/2006/main">
  <sheetPr>
    <tabColor rgb="001F3864"/>
    <outlinePr summaryBelow="1" summaryRight="1"/>
    <pageSetUpPr/>
  </sheetPr>
  <dimension ref="A1:O202"/>
  <sheetViews>
    <sheetView showGridLines="0"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36" customWidth="1" min="4" max="4"/>
    <col width="13" customWidth="1" min="5" max="5"/>
    <col width="10" customWidth="1" min="6" max="6"/>
    <col width="20" customWidth="1" min="7" max="7"/>
    <col width="10" customWidth="1" min="8" max="8"/>
    <col width="12" customWidth="1" min="9" max="9"/>
    <col width="13" customWidth="1" min="10" max="10"/>
    <col width="14" customWidth="1" min="11" max="11"/>
    <col width="17" customWidth="1" min="12" max="12"/>
    <col width="12" customWidth="1" min="13" max="13"/>
    <col width="13" customWidth="1" min="14" max="14"/>
    <col width="34" customWidth="1" min="15" max="15"/>
  </cols>
  <sheetData>
    <row r="1">
      <c r="A1" s="9" t="inlineStr">
        <is>
          <t>CATATAN PENAWARAN HARGA</t>
        </is>
      </c>
    </row>
    <row r="2" ht="30" customHeight="1">
      <c r="A2" s="10" t="inlineStr">
        <is>
          <t>No. Penawaran</t>
        </is>
      </c>
      <c r="B2" s="10" t="inlineStr">
        <is>
          <t>Tanggal</t>
        </is>
      </c>
      <c r="C2" s="10" t="inlineStr">
        <is>
          <t>ID Buyer</t>
        </is>
      </c>
      <c r="D2" s="10" t="inlineStr">
        <is>
          <t>Perusahaan</t>
        </is>
      </c>
      <c r="E2" s="10" t="inlineStr">
        <is>
          <t>Negara</t>
        </is>
      </c>
      <c r="F2" s="10" t="inlineStr">
        <is>
          <t>Incoterm</t>
        </is>
      </c>
      <c r="G2" s="10" t="inlineStr">
        <is>
          <t>Pelabuhan/Bandara Tujuan</t>
        </is>
      </c>
      <c r="H2" s="10" t="inlineStr">
        <is>
          <t>Grade</t>
        </is>
      </c>
      <c r="I2" s="10" t="inlineStr">
        <is>
          <t>Volume (kg)</t>
        </is>
      </c>
      <c r="J2" s="10" t="inlineStr">
        <is>
          <t>Harga (USD/kg)</t>
        </is>
      </c>
      <c r="K2" s="10" t="inlineStr">
        <is>
          <t>Nilai (USD)</t>
        </is>
      </c>
      <c r="L2" s="10" t="inlineStr">
        <is>
          <t>Nilai (IDR)</t>
        </is>
      </c>
      <c r="M2" s="10" t="inlineStr">
        <is>
          <t>Berlaku s/d</t>
        </is>
      </c>
      <c r="N2" s="10" t="inlineStr">
        <is>
          <t>Status</t>
        </is>
      </c>
      <c r="O2" s="10" t="inlineStr">
        <is>
          <t>Catatan</t>
        </is>
      </c>
    </row>
    <row r="3">
      <c r="A3" s="15" t="inlineStr">
        <is>
          <t>QT-2026-001</t>
        </is>
      </c>
      <c r="B3" s="16" t="n">
        <v>46296</v>
      </c>
      <c r="C3" s="15" t="inlineStr">
        <is>
          <t>B015</t>
        </is>
      </c>
      <c r="D3" s="17">
        <f>IF(C3="","",IFERROR(INDEX('Database Buyer'!$B$3:$B$247,MATCH(C3,'Database Buyer'!$A$3:$A$247,0)),"ID tidak ditemukan"))</f>
        <v/>
      </c>
      <c r="E3" s="17">
        <f>IF(C3="","",IFERROR(INDEX('Database Buyer'!$D$3:$D$247,MATCH(C3,'Database Buyer'!$A$3:$A$247,0)),""))</f>
        <v/>
      </c>
      <c r="F3" s="15" t="inlineStr">
        <is>
          <t>CIF</t>
        </is>
      </c>
      <c r="G3" s="15" t="inlineStr">
        <is>
          <t>Hong Kong (HKG)</t>
        </is>
      </c>
      <c r="H3" s="15" t="inlineStr">
        <is>
          <t>Super</t>
        </is>
      </c>
      <c r="I3" s="18" t="n">
        <v>1000</v>
      </c>
      <c r="J3" s="19" t="n">
        <v>3.5</v>
      </c>
      <c r="K3" s="20">
        <f>IF(OR(I3="",J3=""),"",I3*J3)</f>
        <v/>
      </c>
      <c r="L3" s="21">
        <f>IF(K3="","",K3*Panduan!$C$22)</f>
        <v/>
      </c>
      <c r="M3" s="16" t="n">
        <v>46310</v>
      </c>
      <c r="N3" s="15" t="inlineStr">
        <is>
          <t>Terkirim</t>
        </is>
      </c>
      <c r="O3" s="15" t="inlineStr">
        <is>
          <t>CONTOH: ganti/hapus baris ini. Harga ilustrasi, bukan harga pasar.</t>
        </is>
      </c>
    </row>
    <row r="4">
      <c r="A4" s="15" t="n"/>
      <c r="B4" s="16" t="n"/>
      <c r="C4" s="15" t="n"/>
      <c r="D4" s="17">
        <f>IF(C4="","",IFERROR(INDEX('Database Buyer'!$B$3:$B$247,MATCH(C4,'Database Buyer'!$A$3:$A$247,0)),"ID tidak ditemukan"))</f>
        <v/>
      </c>
      <c r="E4" s="17">
        <f>IF(C4="","",IFERROR(INDEX('Database Buyer'!$D$3:$D$247,MATCH(C4,'Database Buyer'!$A$3:$A$247,0)),""))</f>
        <v/>
      </c>
      <c r="F4" s="15" t="n"/>
      <c r="G4" s="15" t="n"/>
      <c r="H4" s="15" t="n"/>
      <c r="I4" s="18" t="n"/>
      <c r="J4" s="19" t="n"/>
      <c r="K4" s="20">
        <f>IF(OR(I4="",J4=""),"",I4*J4)</f>
        <v/>
      </c>
      <c r="L4" s="21">
        <f>IF(K4="","",K4*Panduan!$C$22)</f>
        <v/>
      </c>
      <c r="M4" s="16" t="n"/>
      <c r="N4" s="15" t="n"/>
      <c r="O4" s="15" t="n"/>
    </row>
    <row r="5">
      <c r="A5" s="15" t="n"/>
      <c r="B5" s="16" t="n"/>
      <c r="C5" s="15" t="n"/>
      <c r="D5" s="17">
        <f>IF(C5="","",IFERROR(INDEX('Database Buyer'!$B$3:$B$247,MATCH(C5,'Database Buyer'!$A$3:$A$247,0)),"ID tidak ditemukan"))</f>
        <v/>
      </c>
      <c r="E5" s="17">
        <f>IF(C5="","",IFERROR(INDEX('Database Buyer'!$D$3:$D$247,MATCH(C5,'Database Buyer'!$A$3:$A$247,0)),""))</f>
        <v/>
      </c>
      <c r="F5" s="15" t="n"/>
      <c r="G5" s="15" t="n"/>
      <c r="H5" s="15" t="n"/>
      <c r="I5" s="18" t="n"/>
      <c r="J5" s="19" t="n"/>
      <c r="K5" s="20">
        <f>IF(OR(I5="",J5=""),"",I5*J5)</f>
        <v/>
      </c>
      <c r="L5" s="21">
        <f>IF(K5="","",K5*Panduan!$C$22)</f>
        <v/>
      </c>
      <c r="M5" s="16" t="n"/>
      <c r="N5" s="15" t="n"/>
      <c r="O5" s="15" t="n"/>
    </row>
    <row r="6">
      <c r="A6" s="15" t="n"/>
      <c r="B6" s="16" t="n"/>
      <c r="C6" s="15" t="n"/>
      <c r="D6" s="17">
        <f>IF(C6="","",IFERROR(INDEX('Database Buyer'!$B$3:$B$247,MATCH(C6,'Database Buyer'!$A$3:$A$247,0)),"ID tidak ditemukan"))</f>
        <v/>
      </c>
      <c r="E6" s="17">
        <f>IF(C6="","",IFERROR(INDEX('Database Buyer'!$D$3:$D$247,MATCH(C6,'Database Buyer'!$A$3:$A$247,0)),""))</f>
        <v/>
      </c>
      <c r="F6" s="15" t="n"/>
      <c r="G6" s="15" t="n"/>
      <c r="H6" s="15" t="n"/>
      <c r="I6" s="18" t="n"/>
      <c r="J6" s="19" t="n"/>
      <c r="K6" s="20">
        <f>IF(OR(I6="",J6=""),"",I6*J6)</f>
        <v/>
      </c>
      <c r="L6" s="21">
        <f>IF(K6="","",K6*Panduan!$C$22)</f>
        <v/>
      </c>
      <c r="M6" s="16" t="n"/>
      <c r="N6" s="15" t="n"/>
      <c r="O6" s="15" t="n"/>
    </row>
    <row r="7">
      <c r="A7" s="15" t="n"/>
      <c r="B7" s="16" t="n"/>
      <c r="C7" s="15" t="n"/>
      <c r="D7" s="17">
        <f>IF(C7="","",IFERROR(INDEX('Database Buyer'!$B$3:$B$247,MATCH(C7,'Database Buyer'!$A$3:$A$247,0)),"ID tidak ditemukan"))</f>
        <v/>
      </c>
      <c r="E7" s="17">
        <f>IF(C7="","",IFERROR(INDEX('Database Buyer'!$D$3:$D$247,MATCH(C7,'Database Buyer'!$A$3:$A$247,0)),""))</f>
        <v/>
      </c>
      <c r="F7" s="15" t="n"/>
      <c r="G7" s="15" t="n"/>
      <c r="H7" s="15" t="n"/>
      <c r="I7" s="18" t="n"/>
      <c r="J7" s="19" t="n"/>
      <c r="K7" s="20">
        <f>IF(OR(I7="",J7=""),"",I7*J7)</f>
        <v/>
      </c>
      <c r="L7" s="21">
        <f>IF(K7="","",K7*Panduan!$C$22)</f>
        <v/>
      </c>
      <c r="M7" s="16" t="n"/>
      <c r="N7" s="15" t="n"/>
      <c r="O7" s="15" t="n"/>
    </row>
    <row r="8">
      <c r="A8" s="15" t="n"/>
      <c r="B8" s="16" t="n"/>
      <c r="C8" s="15" t="n"/>
      <c r="D8" s="17">
        <f>IF(C8="","",IFERROR(INDEX('Database Buyer'!$B$3:$B$247,MATCH(C8,'Database Buyer'!$A$3:$A$247,0)),"ID tidak ditemukan"))</f>
        <v/>
      </c>
      <c r="E8" s="17">
        <f>IF(C8="","",IFERROR(INDEX('Database Buyer'!$D$3:$D$247,MATCH(C8,'Database Buyer'!$A$3:$A$247,0)),""))</f>
        <v/>
      </c>
      <c r="F8" s="15" t="n"/>
      <c r="G8" s="15" t="n"/>
      <c r="H8" s="15" t="n"/>
      <c r="I8" s="18" t="n"/>
      <c r="J8" s="19" t="n"/>
      <c r="K8" s="20">
        <f>IF(OR(I8="",J8=""),"",I8*J8)</f>
        <v/>
      </c>
      <c r="L8" s="21">
        <f>IF(K8="","",K8*Panduan!$C$22)</f>
        <v/>
      </c>
      <c r="M8" s="16" t="n"/>
      <c r="N8" s="15" t="n"/>
      <c r="O8" s="15" t="n"/>
    </row>
    <row r="9">
      <c r="A9" s="15" t="n"/>
      <c r="B9" s="16" t="n"/>
      <c r="C9" s="15" t="n"/>
      <c r="D9" s="17">
        <f>IF(C9="","",IFERROR(INDEX('Database Buyer'!$B$3:$B$247,MATCH(C9,'Database Buyer'!$A$3:$A$247,0)),"ID tidak ditemukan"))</f>
        <v/>
      </c>
      <c r="E9" s="17">
        <f>IF(C9="","",IFERROR(INDEX('Database Buyer'!$D$3:$D$247,MATCH(C9,'Database Buyer'!$A$3:$A$247,0)),""))</f>
        <v/>
      </c>
      <c r="F9" s="15" t="n"/>
      <c r="G9" s="15" t="n"/>
      <c r="H9" s="15" t="n"/>
      <c r="I9" s="18" t="n"/>
      <c r="J9" s="19" t="n"/>
      <c r="K9" s="20">
        <f>IF(OR(I9="",J9=""),"",I9*J9)</f>
        <v/>
      </c>
      <c r="L9" s="21">
        <f>IF(K9="","",K9*Panduan!$C$22)</f>
        <v/>
      </c>
      <c r="M9" s="16" t="n"/>
      <c r="N9" s="15" t="n"/>
      <c r="O9" s="15" t="n"/>
    </row>
    <row r="10">
      <c r="A10" s="15" t="n"/>
      <c r="B10" s="16" t="n"/>
      <c r="C10" s="15" t="n"/>
      <c r="D10" s="17">
        <f>IF(C10="","",IFERROR(INDEX('Database Buyer'!$B$3:$B$247,MATCH(C10,'Database Buyer'!$A$3:$A$247,0)),"ID tidak ditemukan"))</f>
        <v/>
      </c>
      <c r="E10" s="17">
        <f>IF(C10="","",IFERROR(INDEX('Database Buyer'!$D$3:$D$247,MATCH(C10,'Database Buyer'!$A$3:$A$247,0)),""))</f>
        <v/>
      </c>
      <c r="F10" s="15" t="n"/>
      <c r="G10" s="15" t="n"/>
      <c r="H10" s="15" t="n"/>
      <c r="I10" s="18" t="n"/>
      <c r="J10" s="19" t="n"/>
      <c r="K10" s="20">
        <f>IF(OR(I10="",J10=""),"",I10*J10)</f>
        <v/>
      </c>
      <c r="L10" s="21">
        <f>IF(K10="","",K10*Panduan!$C$22)</f>
        <v/>
      </c>
      <c r="M10" s="16" t="n"/>
      <c r="N10" s="15" t="n"/>
      <c r="O10" s="15" t="n"/>
    </row>
    <row r="11">
      <c r="A11" s="15" t="n"/>
      <c r="B11" s="16" t="n"/>
      <c r="C11" s="15" t="n"/>
      <c r="D11" s="17">
        <f>IF(C11="","",IFERROR(INDEX('Database Buyer'!$B$3:$B$247,MATCH(C11,'Database Buyer'!$A$3:$A$247,0)),"ID tidak ditemukan"))</f>
        <v/>
      </c>
      <c r="E11" s="17">
        <f>IF(C11="","",IFERROR(INDEX('Database Buyer'!$D$3:$D$247,MATCH(C11,'Database Buyer'!$A$3:$A$247,0)),""))</f>
        <v/>
      </c>
      <c r="F11" s="15" t="n"/>
      <c r="G11" s="15" t="n"/>
      <c r="H11" s="15" t="n"/>
      <c r="I11" s="18" t="n"/>
      <c r="J11" s="19" t="n"/>
      <c r="K11" s="20">
        <f>IF(OR(I11="",J11=""),"",I11*J11)</f>
        <v/>
      </c>
      <c r="L11" s="21">
        <f>IF(K11="","",K11*Panduan!$C$22)</f>
        <v/>
      </c>
      <c r="M11" s="16" t="n"/>
      <c r="N11" s="15" t="n"/>
      <c r="O11" s="15" t="n"/>
    </row>
    <row r="12">
      <c r="A12" s="15" t="n"/>
      <c r="B12" s="16" t="n"/>
      <c r="C12" s="15" t="n"/>
      <c r="D12" s="17">
        <f>IF(C12="","",IFERROR(INDEX('Database Buyer'!$B$3:$B$247,MATCH(C12,'Database Buyer'!$A$3:$A$247,0)),"ID tidak ditemukan"))</f>
        <v/>
      </c>
      <c r="E12" s="17">
        <f>IF(C12="","",IFERROR(INDEX('Database Buyer'!$D$3:$D$247,MATCH(C12,'Database Buyer'!$A$3:$A$247,0)),""))</f>
        <v/>
      </c>
      <c r="F12" s="15" t="n"/>
      <c r="G12" s="15" t="n"/>
      <c r="H12" s="15" t="n"/>
      <c r="I12" s="18" t="n"/>
      <c r="J12" s="19" t="n"/>
      <c r="K12" s="20">
        <f>IF(OR(I12="",J12=""),"",I12*J12)</f>
        <v/>
      </c>
      <c r="L12" s="21">
        <f>IF(K12="","",K12*Panduan!$C$22)</f>
        <v/>
      </c>
      <c r="M12" s="16" t="n"/>
      <c r="N12" s="15" t="n"/>
      <c r="O12" s="15" t="n"/>
    </row>
    <row r="13">
      <c r="A13" s="15" t="n"/>
      <c r="B13" s="16" t="n"/>
      <c r="C13" s="15" t="n"/>
      <c r="D13" s="17">
        <f>IF(C13="","",IFERROR(INDEX('Database Buyer'!$B$3:$B$247,MATCH(C13,'Database Buyer'!$A$3:$A$247,0)),"ID tidak ditemukan"))</f>
        <v/>
      </c>
      <c r="E13" s="17">
        <f>IF(C13="","",IFERROR(INDEX('Database Buyer'!$D$3:$D$247,MATCH(C13,'Database Buyer'!$A$3:$A$247,0)),""))</f>
        <v/>
      </c>
      <c r="F13" s="15" t="n"/>
      <c r="G13" s="15" t="n"/>
      <c r="H13" s="15" t="n"/>
      <c r="I13" s="18" t="n"/>
      <c r="J13" s="19" t="n"/>
      <c r="K13" s="20">
        <f>IF(OR(I13="",J13=""),"",I13*J13)</f>
        <v/>
      </c>
      <c r="L13" s="21">
        <f>IF(K13="","",K13*Panduan!$C$22)</f>
        <v/>
      </c>
      <c r="M13" s="16" t="n"/>
      <c r="N13" s="15" t="n"/>
      <c r="O13" s="15" t="n"/>
    </row>
    <row r="14">
      <c r="A14" s="15" t="n"/>
      <c r="B14" s="16" t="n"/>
      <c r="C14" s="15" t="n"/>
      <c r="D14" s="17">
        <f>IF(C14="","",IFERROR(INDEX('Database Buyer'!$B$3:$B$247,MATCH(C14,'Database Buyer'!$A$3:$A$247,0)),"ID tidak ditemukan"))</f>
        <v/>
      </c>
      <c r="E14" s="17">
        <f>IF(C14="","",IFERROR(INDEX('Database Buyer'!$D$3:$D$247,MATCH(C14,'Database Buyer'!$A$3:$A$247,0)),""))</f>
        <v/>
      </c>
      <c r="F14" s="15" t="n"/>
      <c r="G14" s="15" t="n"/>
      <c r="H14" s="15" t="n"/>
      <c r="I14" s="18" t="n"/>
      <c r="J14" s="19" t="n"/>
      <c r="K14" s="20">
        <f>IF(OR(I14="",J14=""),"",I14*J14)</f>
        <v/>
      </c>
      <c r="L14" s="21">
        <f>IF(K14="","",K14*Panduan!$C$22)</f>
        <v/>
      </c>
      <c r="M14" s="16" t="n"/>
      <c r="N14" s="15" t="n"/>
      <c r="O14" s="15" t="n"/>
    </row>
    <row r="15">
      <c r="A15" s="15" t="n"/>
      <c r="B15" s="16" t="n"/>
      <c r="C15" s="15" t="n"/>
      <c r="D15" s="17">
        <f>IF(C15="","",IFERROR(INDEX('Database Buyer'!$B$3:$B$247,MATCH(C15,'Database Buyer'!$A$3:$A$247,0)),"ID tidak ditemukan"))</f>
        <v/>
      </c>
      <c r="E15" s="17">
        <f>IF(C15="","",IFERROR(INDEX('Database Buyer'!$D$3:$D$247,MATCH(C15,'Database Buyer'!$A$3:$A$247,0)),""))</f>
        <v/>
      </c>
      <c r="F15" s="15" t="n"/>
      <c r="G15" s="15" t="n"/>
      <c r="H15" s="15" t="n"/>
      <c r="I15" s="18" t="n"/>
      <c r="J15" s="19" t="n"/>
      <c r="K15" s="20">
        <f>IF(OR(I15="",J15=""),"",I15*J15)</f>
        <v/>
      </c>
      <c r="L15" s="21">
        <f>IF(K15="","",K15*Panduan!$C$22)</f>
        <v/>
      </c>
      <c r="M15" s="16" t="n"/>
      <c r="N15" s="15" t="n"/>
      <c r="O15" s="15" t="n"/>
    </row>
    <row r="16">
      <c r="A16" s="15" t="n"/>
      <c r="B16" s="16" t="n"/>
      <c r="C16" s="15" t="n"/>
      <c r="D16" s="17">
        <f>IF(C16="","",IFERROR(INDEX('Database Buyer'!$B$3:$B$247,MATCH(C16,'Database Buyer'!$A$3:$A$247,0)),"ID tidak ditemukan"))</f>
        <v/>
      </c>
      <c r="E16" s="17">
        <f>IF(C16="","",IFERROR(INDEX('Database Buyer'!$D$3:$D$247,MATCH(C16,'Database Buyer'!$A$3:$A$247,0)),""))</f>
        <v/>
      </c>
      <c r="F16" s="15" t="n"/>
      <c r="G16" s="15" t="n"/>
      <c r="H16" s="15" t="n"/>
      <c r="I16" s="18" t="n"/>
      <c r="J16" s="19" t="n"/>
      <c r="K16" s="20">
        <f>IF(OR(I16="",J16=""),"",I16*J16)</f>
        <v/>
      </c>
      <c r="L16" s="21">
        <f>IF(K16="","",K16*Panduan!$C$22)</f>
        <v/>
      </c>
      <c r="M16" s="16" t="n"/>
      <c r="N16" s="15" t="n"/>
      <c r="O16" s="15" t="n"/>
    </row>
    <row r="17">
      <c r="A17" s="15" t="n"/>
      <c r="B17" s="16" t="n"/>
      <c r="C17" s="15" t="n"/>
      <c r="D17" s="17">
        <f>IF(C17="","",IFERROR(INDEX('Database Buyer'!$B$3:$B$247,MATCH(C17,'Database Buyer'!$A$3:$A$247,0)),"ID tidak ditemukan"))</f>
        <v/>
      </c>
      <c r="E17" s="17">
        <f>IF(C17="","",IFERROR(INDEX('Database Buyer'!$D$3:$D$247,MATCH(C17,'Database Buyer'!$A$3:$A$247,0)),""))</f>
        <v/>
      </c>
      <c r="F17" s="15" t="n"/>
      <c r="G17" s="15" t="n"/>
      <c r="H17" s="15" t="n"/>
      <c r="I17" s="18" t="n"/>
      <c r="J17" s="19" t="n"/>
      <c r="K17" s="20">
        <f>IF(OR(I17="",J17=""),"",I17*J17)</f>
        <v/>
      </c>
      <c r="L17" s="21">
        <f>IF(K17="","",K17*Panduan!$C$22)</f>
        <v/>
      </c>
      <c r="M17" s="16" t="n"/>
      <c r="N17" s="15" t="n"/>
      <c r="O17" s="15" t="n"/>
    </row>
    <row r="18">
      <c r="A18" s="15" t="n"/>
      <c r="B18" s="16" t="n"/>
      <c r="C18" s="15" t="n"/>
      <c r="D18" s="17">
        <f>IF(C18="","",IFERROR(INDEX('Database Buyer'!$B$3:$B$247,MATCH(C18,'Database Buyer'!$A$3:$A$247,0)),"ID tidak ditemukan"))</f>
        <v/>
      </c>
      <c r="E18" s="17">
        <f>IF(C18="","",IFERROR(INDEX('Database Buyer'!$D$3:$D$247,MATCH(C18,'Database Buyer'!$A$3:$A$247,0)),""))</f>
        <v/>
      </c>
      <c r="F18" s="15" t="n"/>
      <c r="G18" s="15" t="n"/>
      <c r="H18" s="15" t="n"/>
      <c r="I18" s="18" t="n"/>
      <c r="J18" s="19" t="n"/>
      <c r="K18" s="20">
        <f>IF(OR(I18="",J18=""),"",I18*J18)</f>
        <v/>
      </c>
      <c r="L18" s="21">
        <f>IF(K18="","",K18*Panduan!$C$22)</f>
        <v/>
      </c>
      <c r="M18" s="16" t="n"/>
      <c r="N18" s="15" t="n"/>
      <c r="O18" s="15" t="n"/>
    </row>
    <row r="19">
      <c r="A19" s="15" t="n"/>
      <c r="B19" s="16" t="n"/>
      <c r="C19" s="15" t="n"/>
      <c r="D19" s="17">
        <f>IF(C19="","",IFERROR(INDEX('Database Buyer'!$B$3:$B$247,MATCH(C19,'Database Buyer'!$A$3:$A$247,0)),"ID tidak ditemukan"))</f>
        <v/>
      </c>
      <c r="E19" s="17">
        <f>IF(C19="","",IFERROR(INDEX('Database Buyer'!$D$3:$D$247,MATCH(C19,'Database Buyer'!$A$3:$A$247,0)),""))</f>
        <v/>
      </c>
      <c r="F19" s="15" t="n"/>
      <c r="G19" s="15" t="n"/>
      <c r="H19" s="15" t="n"/>
      <c r="I19" s="18" t="n"/>
      <c r="J19" s="19" t="n"/>
      <c r="K19" s="20">
        <f>IF(OR(I19="",J19=""),"",I19*J19)</f>
        <v/>
      </c>
      <c r="L19" s="21">
        <f>IF(K19="","",K19*Panduan!$C$22)</f>
        <v/>
      </c>
      <c r="M19" s="16" t="n"/>
      <c r="N19" s="15" t="n"/>
      <c r="O19" s="15" t="n"/>
    </row>
    <row r="20">
      <c r="A20" s="15" t="n"/>
      <c r="B20" s="16" t="n"/>
      <c r="C20" s="15" t="n"/>
      <c r="D20" s="17">
        <f>IF(C20="","",IFERROR(INDEX('Database Buyer'!$B$3:$B$247,MATCH(C20,'Database Buyer'!$A$3:$A$247,0)),"ID tidak ditemukan"))</f>
        <v/>
      </c>
      <c r="E20" s="17">
        <f>IF(C20="","",IFERROR(INDEX('Database Buyer'!$D$3:$D$247,MATCH(C20,'Database Buyer'!$A$3:$A$247,0)),""))</f>
        <v/>
      </c>
      <c r="F20" s="15" t="n"/>
      <c r="G20" s="15" t="n"/>
      <c r="H20" s="15" t="n"/>
      <c r="I20" s="18" t="n"/>
      <c r="J20" s="19" t="n"/>
      <c r="K20" s="20">
        <f>IF(OR(I20="",J20=""),"",I20*J20)</f>
        <v/>
      </c>
      <c r="L20" s="21">
        <f>IF(K20="","",K20*Panduan!$C$22)</f>
        <v/>
      </c>
      <c r="M20" s="16" t="n"/>
      <c r="N20" s="15" t="n"/>
      <c r="O20" s="15" t="n"/>
    </row>
    <row r="21">
      <c r="A21" s="15" t="n"/>
      <c r="B21" s="16" t="n"/>
      <c r="C21" s="15" t="n"/>
      <c r="D21" s="17">
        <f>IF(C21="","",IFERROR(INDEX('Database Buyer'!$B$3:$B$247,MATCH(C21,'Database Buyer'!$A$3:$A$247,0)),"ID tidak ditemukan"))</f>
        <v/>
      </c>
      <c r="E21" s="17">
        <f>IF(C21="","",IFERROR(INDEX('Database Buyer'!$D$3:$D$247,MATCH(C21,'Database Buyer'!$A$3:$A$247,0)),""))</f>
        <v/>
      </c>
      <c r="F21" s="15" t="n"/>
      <c r="G21" s="15" t="n"/>
      <c r="H21" s="15" t="n"/>
      <c r="I21" s="18" t="n"/>
      <c r="J21" s="19" t="n"/>
      <c r="K21" s="20">
        <f>IF(OR(I21="",J21=""),"",I21*J21)</f>
        <v/>
      </c>
      <c r="L21" s="21">
        <f>IF(K21="","",K21*Panduan!$C$22)</f>
        <v/>
      </c>
      <c r="M21" s="16" t="n"/>
      <c r="N21" s="15" t="n"/>
      <c r="O21" s="15" t="n"/>
    </row>
    <row r="22">
      <c r="A22" s="15" t="n"/>
      <c r="B22" s="16" t="n"/>
      <c r="C22" s="15" t="n"/>
      <c r="D22" s="17">
        <f>IF(C22="","",IFERROR(INDEX('Database Buyer'!$B$3:$B$247,MATCH(C22,'Database Buyer'!$A$3:$A$247,0)),"ID tidak ditemukan"))</f>
        <v/>
      </c>
      <c r="E22" s="17">
        <f>IF(C22="","",IFERROR(INDEX('Database Buyer'!$D$3:$D$247,MATCH(C22,'Database Buyer'!$A$3:$A$247,0)),""))</f>
        <v/>
      </c>
      <c r="F22" s="15" t="n"/>
      <c r="G22" s="15" t="n"/>
      <c r="H22" s="15" t="n"/>
      <c r="I22" s="18" t="n"/>
      <c r="J22" s="19" t="n"/>
      <c r="K22" s="20">
        <f>IF(OR(I22="",J22=""),"",I22*J22)</f>
        <v/>
      </c>
      <c r="L22" s="21">
        <f>IF(K22="","",K22*Panduan!$C$22)</f>
        <v/>
      </c>
      <c r="M22" s="16" t="n"/>
      <c r="N22" s="15" t="n"/>
      <c r="O22" s="15" t="n"/>
    </row>
    <row r="23">
      <c r="A23" s="15" t="n"/>
      <c r="B23" s="16" t="n"/>
      <c r="C23" s="15" t="n"/>
      <c r="D23" s="17">
        <f>IF(C23="","",IFERROR(INDEX('Database Buyer'!$B$3:$B$247,MATCH(C23,'Database Buyer'!$A$3:$A$247,0)),"ID tidak ditemukan"))</f>
        <v/>
      </c>
      <c r="E23" s="17">
        <f>IF(C23="","",IFERROR(INDEX('Database Buyer'!$D$3:$D$247,MATCH(C23,'Database Buyer'!$A$3:$A$247,0)),""))</f>
        <v/>
      </c>
      <c r="F23" s="15" t="n"/>
      <c r="G23" s="15" t="n"/>
      <c r="H23" s="15" t="n"/>
      <c r="I23" s="18" t="n"/>
      <c r="J23" s="19" t="n"/>
      <c r="K23" s="20">
        <f>IF(OR(I23="",J23=""),"",I23*J23)</f>
        <v/>
      </c>
      <c r="L23" s="21">
        <f>IF(K23="","",K23*Panduan!$C$22)</f>
        <v/>
      </c>
      <c r="M23" s="16" t="n"/>
      <c r="N23" s="15" t="n"/>
      <c r="O23" s="15" t="n"/>
    </row>
    <row r="24">
      <c r="A24" s="15" t="n"/>
      <c r="B24" s="16" t="n"/>
      <c r="C24" s="15" t="n"/>
      <c r="D24" s="17">
        <f>IF(C24="","",IFERROR(INDEX('Database Buyer'!$B$3:$B$247,MATCH(C24,'Database Buyer'!$A$3:$A$247,0)),"ID tidak ditemukan"))</f>
        <v/>
      </c>
      <c r="E24" s="17">
        <f>IF(C24="","",IFERROR(INDEX('Database Buyer'!$D$3:$D$247,MATCH(C24,'Database Buyer'!$A$3:$A$247,0)),""))</f>
        <v/>
      </c>
      <c r="F24" s="15" t="n"/>
      <c r="G24" s="15" t="n"/>
      <c r="H24" s="15" t="n"/>
      <c r="I24" s="18" t="n"/>
      <c r="J24" s="19" t="n"/>
      <c r="K24" s="20">
        <f>IF(OR(I24="",J24=""),"",I24*J24)</f>
        <v/>
      </c>
      <c r="L24" s="21">
        <f>IF(K24="","",K24*Panduan!$C$22)</f>
        <v/>
      </c>
      <c r="M24" s="16" t="n"/>
      <c r="N24" s="15" t="n"/>
      <c r="O24" s="15" t="n"/>
    </row>
    <row r="25">
      <c r="A25" s="15" t="n"/>
      <c r="B25" s="16" t="n"/>
      <c r="C25" s="15" t="n"/>
      <c r="D25" s="17">
        <f>IF(C25="","",IFERROR(INDEX('Database Buyer'!$B$3:$B$247,MATCH(C25,'Database Buyer'!$A$3:$A$247,0)),"ID tidak ditemukan"))</f>
        <v/>
      </c>
      <c r="E25" s="17">
        <f>IF(C25="","",IFERROR(INDEX('Database Buyer'!$D$3:$D$247,MATCH(C25,'Database Buyer'!$A$3:$A$247,0)),""))</f>
        <v/>
      </c>
      <c r="F25" s="15" t="n"/>
      <c r="G25" s="15" t="n"/>
      <c r="H25" s="15" t="n"/>
      <c r="I25" s="18" t="n"/>
      <c r="J25" s="19" t="n"/>
      <c r="K25" s="20">
        <f>IF(OR(I25="",J25=""),"",I25*J25)</f>
        <v/>
      </c>
      <c r="L25" s="21">
        <f>IF(K25="","",K25*Panduan!$C$22)</f>
        <v/>
      </c>
      <c r="M25" s="16" t="n"/>
      <c r="N25" s="15" t="n"/>
      <c r="O25" s="15" t="n"/>
    </row>
    <row r="26">
      <c r="A26" s="15" t="n"/>
      <c r="B26" s="16" t="n"/>
      <c r="C26" s="15" t="n"/>
      <c r="D26" s="17">
        <f>IF(C26="","",IFERROR(INDEX('Database Buyer'!$B$3:$B$247,MATCH(C26,'Database Buyer'!$A$3:$A$247,0)),"ID tidak ditemukan"))</f>
        <v/>
      </c>
      <c r="E26" s="17">
        <f>IF(C26="","",IFERROR(INDEX('Database Buyer'!$D$3:$D$247,MATCH(C26,'Database Buyer'!$A$3:$A$247,0)),""))</f>
        <v/>
      </c>
      <c r="F26" s="15" t="n"/>
      <c r="G26" s="15" t="n"/>
      <c r="H26" s="15" t="n"/>
      <c r="I26" s="18" t="n"/>
      <c r="J26" s="19" t="n"/>
      <c r="K26" s="20">
        <f>IF(OR(I26="",J26=""),"",I26*J26)</f>
        <v/>
      </c>
      <c r="L26" s="21">
        <f>IF(K26="","",K26*Panduan!$C$22)</f>
        <v/>
      </c>
      <c r="M26" s="16" t="n"/>
      <c r="N26" s="15" t="n"/>
      <c r="O26" s="15" t="n"/>
    </row>
    <row r="27">
      <c r="A27" s="15" t="n"/>
      <c r="B27" s="16" t="n"/>
      <c r="C27" s="15" t="n"/>
      <c r="D27" s="17">
        <f>IF(C27="","",IFERROR(INDEX('Database Buyer'!$B$3:$B$247,MATCH(C27,'Database Buyer'!$A$3:$A$247,0)),"ID tidak ditemukan"))</f>
        <v/>
      </c>
      <c r="E27" s="17">
        <f>IF(C27="","",IFERROR(INDEX('Database Buyer'!$D$3:$D$247,MATCH(C27,'Database Buyer'!$A$3:$A$247,0)),""))</f>
        <v/>
      </c>
      <c r="F27" s="15" t="n"/>
      <c r="G27" s="15" t="n"/>
      <c r="H27" s="15" t="n"/>
      <c r="I27" s="18" t="n"/>
      <c r="J27" s="19" t="n"/>
      <c r="K27" s="20">
        <f>IF(OR(I27="",J27=""),"",I27*J27)</f>
        <v/>
      </c>
      <c r="L27" s="21">
        <f>IF(K27="","",K27*Panduan!$C$22)</f>
        <v/>
      </c>
      <c r="M27" s="16" t="n"/>
      <c r="N27" s="15" t="n"/>
      <c r="O27" s="15" t="n"/>
    </row>
    <row r="28">
      <c r="A28" s="15" t="n"/>
      <c r="B28" s="16" t="n"/>
      <c r="C28" s="15" t="n"/>
      <c r="D28" s="17">
        <f>IF(C28="","",IFERROR(INDEX('Database Buyer'!$B$3:$B$247,MATCH(C28,'Database Buyer'!$A$3:$A$247,0)),"ID tidak ditemukan"))</f>
        <v/>
      </c>
      <c r="E28" s="17">
        <f>IF(C28="","",IFERROR(INDEX('Database Buyer'!$D$3:$D$247,MATCH(C28,'Database Buyer'!$A$3:$A$247,0)),""))</f>
        <v/>
      </c>
      <c r="F28" s="15" t="n"/>
      <c r="G28" s="15" t="n"/>
      <c r="H28" s="15" t="n"/>
      <c r="I28" s="18" t="n"/>
      <c r="J28" s="19" t="n"/>
      <c r="K28" s="20">
        <f>IF(OR(I28="",J28=""),"",I28*J28)</f>
        <v/>
      </c>
      <c r="L28" s="21">
        <f>IF(K28="","",K28*Panduan!$C$22)</f>
        <v/>
      </c>
      <c r="M28" s="16" t="n"/>
      <c r="N28" s="15" t="n"/>
      <c r="O28" s="15" t="n"/>
    </row>
    <row r="29">
      <c r="A29" s="15" t="n"/>
      <c r="B29" s="16" t="n"/>
      <c r="C29" s="15" t="n"/>
      <c r="D29" s="17">
        <f>IF(C29="","",IFERROR(INDEX('Database Buyer'!$B$3:$B$247,MATCH(C29,'Database Buyer'!$A$3:$A$247,0)),"ID tidak ditemukan"))</f>
        <v/>
      </c>
      <c r="E29" s="17">
        <f>IF(C29="","",IFERROR(INDEX('Database Buyer'!$D$3:$D$247,MATCH(C29,'Database Buyer'!$A$3:$A$247,0)),""))</f>
        <v/>
      </c>
      <c r="F29" s="15" t="n"/>
      <c r="G29" s="15" t="n"/>
      <c r="H29" s="15" t="n"/>
      <c r="I29" s="18" t="n"/>
      <c r="J29" s="19" t="n"/>
      <c r="K29" s="20">
        <f>IF(OR(I29="",J29=""),"",I29*J29)</f>
        <v/>
      </c>
      <c r="L29" s="21">
        <f>IF(K29="","",K29*Panduan!$C$22)</f>
        <v/>
      </c>
      <c r="M29" s="16" t="n"/>
      <c r="N29" s="15" t="n"/>
      <c r="O29" s="15" t="n"/>
    </row>
    <row r="30">
      <c r="A30" s="15" t="n"/>
      <c r="B30" s="16" t="n"/>
      <c r="C30" s="15" t="n"/>
      <c r="D30" s="17">
        <f>IF(C30="","",IFERROR(INDEX('Database Buyer'!$B$3:$B$247,MATCH(C30,'Database Buyer'!$A$3:$A$247,0)),"ID tidak ditemukan"))</f>
        <v/>
      </c>
      <c r="E30" s="17">
        <f>IF(C30="","",IFERROR(INDEX('Database Buyer'!$D$3:$D$247,MATCH(C30,'Database Buyer'!$A$3:$A$247,0)),""))</f>
        <v/>
      </c>
      <c r="F30" s="15" t="n"/>
      <c r="G30" s="15" t="n"/>
      <c r="H30" s="15" t="n"/>
      <c r="I30" s="18" t="n"/>
      <c r="J30" s="19" t="n"/>
      <c r="K30" s="20">
        <f>IF(OR(I30="",J30=""),"",I30*J30)</f>
        <v/>
      </c>
      <c r="L30" s="21">
        <f>IF(K30="","",K30*Panduan!$C$22)</f>
        <v/>
      </c>
      <c r="M30" s="16" t="n"/>
      <c r="N30" s="15" t="n"/>
      <c r="O30" s="15" t="n"/>
    </row>
    <row r="31">
      <c r="A31" s="15" t="n"/>
      <c r="B31" s="16" t="n"/>
      <c r="C31" s="15" t="n"/>
      <c r="D31" s="17">
        <f>IF(C31="","",IFERROR(INDEX('Database Buyer'!$B$3:$B$247,MATCH(C31,'Database Buyer'!$A$3:$A$247,0)),"ID tidak ditemukan"))</f>
        <v/>
      </c>
      <c r="E31" s="17">
        <f>IF(C31="","",IFERROR(INDEX('Database Buyer'!$D$3:$D$247,MATCH(C31,'Database Buyer'!$A$3:$A$247,0)),""))</f>
        <v/>
      </c>
      <c r="F31" s="15" t="n"/>
      <c r="G31" s="15" t="n"/>
      <c r="H31" s="15" t="n"/>
      <c r="I31" s="18" t="n"/>
      <c r="J31" s="19" t="n"/>
      <c r="K31" s="20">
        <f>IF(OR(I31="",J31=""),"",I31*J31)</f>
        <v/>
      </c>
      <c r="L31" s="21">
        <f>IF(K31="","",K31*Panduan!$C$22)</f>
        <v/>
      </c>
      <c r="M31" s="16" t="n"/>
      <c r="N31" s="15" t="n"/>
      <c r="O31" s="15" t="n"/>
    </row>
    <row r="32">
      <c r="A32" s="15" t="n"/>
      <c r="B32" s="16" t="n"/>
      <c r="C32" s="15" t="n"/>
      <c r="D32" s="17">
        <f>IF(C32="","",IFERROR(INDEX('Database Buyer'!$B$3:$B$247,MATCH(C32,'Database Buyer'!$A$3:$A$247,0)),"ID tidak ditemukan"))</f>
        <v/>
      </c>
      <c r="E32" s="17">
        <f>IF(C32="","",IFERROR(INDEX('Database Buyer'!$D$3:$D$247,MATCH(C32,'Database Buyer'!$A$3:$A$247,0)),""))</f>
        <v/>
      </c>
      <c r="F32" s="15" t="n"/>
      <c r="G32" s="15" t="n"/>
      <c r="H32" s="15" t="n"/>
      <c r="I32" s="18" t="n"/>
      <c r="J32" s="19" t="n"/>
      <c r="K32" s="20">
        <f>IF(OR(I32="",J32=""),"",I32*J32)</f>
        <v/>
      </c>
      <c r="L32" s="21">
        <f>IF(K32="","",K32*Panduan!$C$22)</f>
        <v/>
      </c>
      <c r="M32" s="16" t="n"/>
      <c r="N32" s="15" t="n"/>
      <c r="O32" s="15" t="n"/>
    </row>
    <row r="33">
      <c r="A33" s="15" t="n"/>
      <c r="B33" s="16" t="n"/>
      <c r="C33" s="15" t="n"/>
      <c r="D33" s="17">
        <f>IF(C33="","",IFERROR(INDEX('Database Buyer'!$B$3:$B$247,MATCH(C33,'Database Buyer'!$A$3:$A$247,0)),"ID tidak ditemukan"))</f>
        <v/>
      </c>
      <c r="E33" s="17">
        <f>IF(C33="","",IFERROR(INDEX('Database Buyer'!$D$3:$D$247,MATCH(C33,'Database Buyer'!$A$3:$A$247,0)),""))</f>
        <v/>
      </c>
      <c r="F33" s="15" t="n"/>
      <c r="G33" s="15" t="n"/>
      <c r="H33" s="15" t="n"/>
      <c r="I33" s="18" t="n"/>
      <c r="J33" s="19" t="n"/>
      <c r="K33" s="20">
        <f>IF(OR(I33="",J33=""),"",I33*J33)</f>
        <v/>
      </c>
      <c r="L33" s="21">
        <f>IF(K33="","",K33*Panduan!$C$22)</f>
        <v/>
      </c>
      <c r="M33" s="16" t="n"/>
      <c r="N33" s="15" t="n"/>
      <c r="O33" s="15" t="n"/>
    </row>
    <row r="34">
      <c r="A34" s="15" t="n"/>
      <c r="B34" s="16" t="n"/>
      <c r="C34" s="15" t="n"/>
      <c r="D34" s="17">
        <f>IF(C34="","",IFERROR(INDEX('Database Buyer'!$B$3:$B$247,MATCH(C34,'Database Buyer'!$A$3:$A$247,0)),"ID tidak ditemukan"))</f>
        <v/>
      </c>
      <c r="E34" s="17">
        <f>IF(C34="","",IFERROR(INDEX('Database Buyer'!$D$3:$D$247,MATCH(C34,'Database Buyer'!$A$3:$A$247,0)),""))</f>
        <v/>
      </c>
      <c r="F34" s="15" t="n"/>
      <c r="G34" s="15" t="n"/>
      <c r="H34" s="15" t="n"/>
      <c r="I34" s="18" t="n"/>
      <c r="J34" s="19" t="n"/>
      <c r="K34" s="20">
        <f>IF(OR(I34="",J34=""),"",I34*J34)</f>
        <v/>
      </c>
      <c r="L34" s="21">
        <f>IF(K34="","",K34*Panduan!$C$22)</f>
        <v/>
      </c>
      <c r="M34" s="16" t="n"/>
      <c r="N34" s="15" t="n"/>
      <c r="O34" s="15" t="n"/>
    </row>
    <row r="35">
      <c r="A35" s="15" t="n"/>
      <c r="B35" s="16" t="n"/>
      <c r="C35" s="15" t="n"/>
      <c r="D35" s="17">
        <f>IF(C35="","",IFERROR(INDEX('Database Buyer'!$B$3:$B$247,MATCH(C35,'Database Buyer'!$A$3:$A$247,0)),"ID tidak ditemukan"))</f>
        <v/>
      </c>
      <c r="E35" s="17">
        <f>IF(C35="","",IFERROR(INDEX('Database Buyer'!$D$3:$D$247,MATCH(C35,'Database Buyer'!$A$3:$A$247,0)),""))</f>
        <v/>
      </c>
      <c r="F35" s="15" t="n"/>
      <c r="G35" s="15" t="n"/>
      <c r="H35" s="15" t="n"/>
      <c r="I35" s="18" t="n"/>
      <c r="J35" s="19" t="n"/>
      <c r="K35" s="20">
        <f>IF(OR(I35="",J35=""),"",I35*J35)</f>
        <v/>
      </c>
      <c r="L35" s="21">
        <f>IF(K35="","",K35*Panduan!$C$22)</f>
        <v/>
      </c>
      <c r="M35" s="16" t="n"/>
      <c r="N35" s="15" t="n"/>
      <c r="O35" s="15" t="n"/>
    </row>
    <row r="36">
      <c r="A36" s="15" t="n"/>
      <c r="B36" s="16" t="n"/>
      <c r="C36" s="15" t="n"/>
      <c r="D36" s="17">
        <f>IF(C36="","",IFERROR(INDEX('Database Buyer'!$B$3:$B$247,MATCH(C36,'Database Buyer'!$A$3:$A$247,0)),"ID tidak ditemukan"))</f>
        <v/>
      </c>
      <c r="E36" s="17">
        <f>IF(C36="","",IFERROR(INDEX('Database Buyer'!$D$3:$D$247,MATCH(C36,'Database Buyer'!$A$3:$A$247,0)),""))</f>
        <v/>
      </c>
      <c r="F36" s="15" t="n"/>
      <c r="G36" s="15" t="n"/>
      <c r="H36" s="15" t="n"/>
      <c r="I36" s="18" t="n"/>
      <c r="J36" s="19" t="n"/>
      <c r="K36" s="20">
        <f>IF(OR(I36="",J36=""),"",I36*J36)</f>
        <v/>
      </c>
      <c r="L36" s="21">
        <f>IF(K36="","",K36*Panduan!$C$22)</f>
        <v/>
      </c>
      <c r="M36" s="16" t="n"/>
      <c r="N36" s="15" t="n"/>
      <c r="O36" s="15" t="n"/>
    </row>
    <row r="37">
      <c r="A37" s="15" t="n"/>
      <c r="B37" s="16" t="n"/>
      <c r="C37" s="15" t="n"/>
      <c r="D37" s="17">
        <f>IF(C37="","",IFERROR(INDEX('Database Buyer'!$B$3:$B$247,MATCH(C37,'Database Buyer'!$A$3:$A$247,0)),"ID tidak ditemukan"))</f>
        <v/>
      </c>
      <c r="E37" s="17">
        <f>IF(C37="","",IFERROR(INDEX('Database Buyer'!$D$3:$D$247,MATCH(C37,'Database Buyer'!$A$3:$A$247,0)),""))</f>
        <v/>
      </c>
      <c r="F37" s="15" t="n"/>
      <c r="G37" s="15" t="n"/>
      <c r="H37" s="15" t="n"/>
      <c r="I37" s="18" t="n"/>
      <c r="J37" s="19" t="n"/>
      <c r="K37" s="20">
        <f>IF(OR(I37="",J37=""),"",I37*J37)</f>
        <v/>
      </c>
      <c r="L37" s="21">
        <f>IF(K37="","",K37*Panduan!$C$22)</f>
        <v/>
      </c>
      <c r="M37" s="16" t="n"/>
      <c r="N37" s="15" t="n"/>
      <c r="O37" s="15" t="n"/>
    </row>
    <row r="38">
      <c r="A38" s="15" t="n"/>
      <c r="B38" s="16" t="n"/>
      <c r="C38" s="15" t="n"/>
      <c r="D38" s="17">
        <f>IF(C38="","",IFERROR(INDEX('Database Buyer'!$B$3:$B$247,MATCH(C38,'Database Buyer'!$A$3:$A$247,0)),"ID tidak ditemukan"))</f>
        <v/>
      </c>
      <c r="E38" s="17">
        <f>IF(C38="","",IFERROR(INDEX('Database Buyer'!$D$3:$D$247,MATCH(C38,'Database Buyer'!$A$3:$A$247,0)),""))</f>
        <v/>
      </c>
      <c r="F38" s="15" t="n"/>
      <c r="G38" s="15" t="n"/>
      <c r="H38" s="15" t="n"/>
      <c r="I38" s="18" t="n"/>
      <c r="J38" s="19" t="n"/>
      <c r="K38" s="20">
        <f>IF(OR(I38="",J38=""),"",I38*J38)</f>
        <v/>
      </c>
      <c r="L38" s="21">
        <f>IF(K38="","",K38*Panduan!$C$22)</f>
        <v/>
      </c>
      <c r="M38" s="16" t="n"/>
      <c r="N38" s="15" t="n"/>
      <c r="O38" s="15" t="n"/>
    </row>
    <row r="39">
      <c r="A39" s="15" t="n"/>
      <c r="B39" s="16" t="n"/>
      <c r="C39" s="15" t="n"/>
      <c r="D39" s="17">
        <f>IF(C39="","",IFERROR(INDEX('Database Buyer'!$B$3:$B$247,MATCH(C39,'Database Buyer'!$A$3:$A$247,0)),"ID tidak ditemukan"))</f>
        <v/>
      </c>
      <c r="E39" s="17">
        <f>IF(C39="","",IFERROR(INDEX('Database Buyer'!$D$3:$D$247,MATCH(C39,'Database Buyer'!$A$3:$A$247,0)),""))</f>
        <v/>
      </c>
      <c r="F39" s="15" t="n"/>
      <c r="G39" s="15" t="n"/>
      <c r="H39" s="15" t="n"/>
      <c r="I39" s="18" t="n"/>
      <c r="J39" s="19" t="n"/>
      <c r="K39" s="20">
        <f>IF(OR(I39="",J39=""),"",I39*J39)</f>
        <v/>
      </c>
      <c r="L39" s="21">
        <f>IF(K39="","",K39*Panduan!$C$22)</f>
        <v/>
      </c>
      <c r="M39" s="16" t="n"/>
      <c r="N39" s="15" t="n"/>
      <c r="O39" s="15" t="n"/>
    </row>
    <row r="40">
      <c r="A40" s="15" t="n"/>
      <c r="B40" s="16" t="n"/>
      <c r="C40" s="15" t="n"/>
      <c r="D40" s="17">
        <f>IF(C40="","",IFERROR(INDEX('Database Buyer'!$B$3:$B$247,MATCH(C40,'Database Buyer'!$A$3:$A$247,0)),"ID tidak ditemukan"))</f>
        <v/>
      </c>
      <c r="E40" s="17">
        <f>IF(C40="","",IFERROR(INDEX('Database Buyer'!$D$3:$D$247,MATCH(C40,'Database Buyer'!$A$3:$A$247,0)),""))</f>
        <v/>
      </c>
      <c r="F40" s="15" t="n"/>
      <c r="G40" s="15" t="n"/>
      <c r="H40" s="15" t="n"/>
      <c r="I40" s="18" t="n"/>
      <c r="J40" s="19" t="n"/>
      <c r="K40" s="20">
        <f>IF(OR(I40="",J40=""),"",I40*J40)</f>
        <v/>
      </c>
      <c r="L40" s="21">
        <f>IF(K40="","",K40*Panduan!$C$22)</f>
        <v/>
      </c>
      <c r="M40" s="16" t="n"/>
      <c r="N40" s="15" t="n"/>
      <c r="O40" s="15" t="n"/>
    </row>
    <row r="41">
      <c r="A41" s="15" t="n"/>
      <c r="B41" s="16" t="n"/>
      <c r="C41" s="15" t="n"/>
      <c r="D41" s="17">
        <f>IF(C41="","",IFERROR(INDEX('Database Buyer'!$B$3:$B$247,MATCH(C41,'Database Buyer'!$A$3:$A$247,0)),"ID tidak ditemukan"))</f>
        <v/>
      </c>
      <c r="E41" s="17">
        <f>IF(C41="","",IFERROR(INDEX('Database Buyer'!$D$3:$D$247,MATCH(C41,'Database Buyer'!$A$3:$A$247,0)),""))</f>
        <v/>
      </c>
      <c r="F41" s="15" t="n"/>
      <c r="G41" s="15" t="n"/>
      <c r="H41" s="15" t="n"/>
      <c r="I41" s="18" t="n"/>
      <c r="J41" s="19" t="n"/>
      <c r="K41" s="20">
        <f>IF(OR(I41="",J41=""),"",I41*J41)</f>
        <v/>
      </c>
      <c r="L41" s="21">
        <f>IF(K41="","",K41*Panduan!$C$22)</f>
        <v/>
      </c>
      <c r="M41" s="16" t="n"/>
      <c r="N41" s="15" t="n"/>
      <c r="O41" s="15" t="n"/>
    </row>
    <row r="42">
      <c r="A42" s="15" t="n"/>
      <c r="B42" s="16" t="n"/>
      <c r="C42" s="15" t="n"/>
      <c r="D42" s="17">
        <f>IF(C42="","",IFERROR(INDEX('Database Buyer'!$B$3:$B$247,MATCH(C42,'Database Buyer'!$A$3:$A$247,0)),"ID tidak ditemukan"))</f>
        <v/>
      </c>
      <c r="E42" s="17">
        <f>IF(C42="","",IFERROR(INDEX('Database Buyer'!$D$3:$D$247,MATCH(C42,'Database Buyer'!$A$3:$A$247,0)),""))</f>
        <v/>
      </c>
      <c r="F42" s="15" t="n"/>
      <c r="G42" s="15" t="n"/>
      <c r="H42" s="15" t="n"/>
      <c r="I42" s="18" t="n"/>
      <c r="J42" s="19" t="n"/>
      <c r="K42" s="20">
        <f>IF(OR(I42="",J42=""),"",I42*J42)</f>
        <v/>
      </c>
      <c r="L42" s="21">
        <f>IF(K42="","",K42*Panduan!$C$22)</f>
        <v/>
      </c>
      <c r="M42" s="16" t="n"/>
      <c r="N42" s="15" t="n"/>
      <c r="O42" s="15" t="n"/>
    </row>
    <row r="43">
      <c r="A43" s="15" t="n"/>
      <c r="B43" s="16" t="n"/>
      <c r="C43" s="15" t="n"/>
      <c r="D43" s="17">
        <f>IF(C43="","",IFERROR(INDEX('Database Buyer'!$B$3:$B$247,MATCH(C43,'Database Buyer'!$A$3:$A$247,0)),"ID tidak ditemukan"))</f>
        <v/>
      </c>
      <c r="E43" s="17">
        <f>IF(C43="","",IFERROR(INDEX('Database Buyer'!$D$3:$D$247,MATCH(C43,'Database Buyer'!$A$3:$A$247,0)),""))</f>
        <v/>
      </c>
      <c r="F43" s="15" t="n"/>
      <c r="G43" s="15" t="n"/>
      <c r="H43" s="15" t="n"/>
      <c r="I43" s="18" t="n"/>
      <c r="J43" s="19" t="n"/>
      <c r="K43" s="20">
        <f>IF(OR(I43="",J43=""),"",I43*J43)</f>
        <v/>
      </c>
      <c r="L43" s="21">
        <f>IF(K43="","",K43*Panduan!$C$22)</f>
        <v/>
      </c>
      <c r="M43" s="16" t="n"/>
      <c r="N43" s="15" t="n"/>
      <c r="O43" s="15" t="n"/>
    </row>
    <row r="44">
      <c r="A44" s="15" t="n"/>
      <c r="B44" s="16" t="n"/>
      <c r="C44" s="15" t="n"/>
      <c r="D44" s="17">
        <f>IF(C44="","",IFERROR(INDEX('Database Buyer'!$B$3:$B$247,MATCH(C44,'Database Buyer'!$A$3:$A$247,0)),"ID tidak ditemukan"))</f>
        <v/>
      </c>
      <c r="E44" s="17">
        <f>IF(C44="","",IFERROR(INDEX('Database Buyer'!$D$3:$D$247,MATCH(C44,'Database Buyer'!$A$3:$A$247,0)),""))</f>
        <v/>
      </c>
      <c r="F44" s="15" t="n"/>
      <c r="G44" s="15" t="n"/>
      <c r="H44" s="15" t="n"/>
      <c r="I44" s="18" t="n"/>
      <c r="J44" s="19" t="n"/>
      <c r="K44" s="20">
        <f>IF(OR(I44="",J44=""),"",I44*J44)</f>
        <v/>
      </c>
      <c r="L44" s="21">
        <f>IF(K44="","",K44*Panduan!$C$22)</f>
        <v/>
      </c>
      <c r="M44" s="16" t="n"/>
      <c r="N44" s="15" t="n"/>
      <c r="O44" s="15" t="n"/>
    </row>
    <row r="45">
      <c r="A45" s="15" t="n"/>
      <c r="B45" s="16" t="n"/>
      <c r="C45" s="15" t="n"/>
      <c r="D45" s="17">
        <f>IF(C45="","",IFERROR(INDEX('Database Buyer'!$B$3:$B$247,MATCH(C45,'Database Buyer'!$A$3:$A$247,0)),"ID tidak ditemukan"))</f>
        <v/>
      </c>
      <c r="E45" s="17">
        <f>IF(C45="","",IFERROR(INDEX('Database Buyer'!$D$3:$D$247,MATCH(C45,'Database Buyer'!$A$3:$A$247,0)),""))</f>
        <v/>
      </c>
      <c r="F45" s="15" t="n"/>
      <c r="G45" s="15" t="n"/>
      <c r="H45" s="15" t="n"/>
      <c r="I45" s="18" t="n"/>
      <c r="J45" s="19" t="n"/>
      <c r="K45" s="20">
        <f>IF(OR(I45="",J45=""),"",I45*J45)</f>
        <v/>
      </c>
      <c r="L45" s="21">
        <f>IF(K45="","",K45*Panduan!$C$22)</f>
        <v/>
      </c>
      <c r="M45" s="16" t="n"/>
      <c r="N45" s="15" t="n"/>
      <c r="O45" s="15" t="n"/>
    </row>
    <row r="46">
      <c r="A46" s="15" t="n"/>
      <c r="B46" s="16" t="n"/>
      <c r="C46" s="15" t="n"/>
      <c r="D46" s="17">
        <f>IF(C46="","",IFERROR(INDEX('Database Buyer'!$B$3:$B$247,MATCH(C46,'Database Buyer'!$A$3:$A$247,0)),"ID tidak ditemukan"))</f>
        <v/>
      </c>
      <c r="E46" s="17">
        <f>IF(C46="","",IFERROR(INDEX('Database Buyer'!$D$3:$D$247,MATCH(C46,'Database Buyer'!$A$3:$A$247,0)),""))</f>
        <v/>
      </c>
      <c r="F46" s="15" t="n"/>
      <c r="G46" s="15" t="n"/>
      <c r="H46" s="15" t="n"/>
      <c r="I46" s="18" t="n"/>
      <c r="J46" s="19" t="n"/>
      <c r="K46" s="20">
        <f>IF(OR(I46="",J46=""),"",I46*J46)</f>
        <v/>
      </c>
      <c r="L46" s="21">
        <f>IF(K46="","",K46*Panduan!$C$22)</f>
        <v/>
      </c>
      <c r="M46" s="16" t="n"/>
      <c r="N46" s="15" t="n"/>
      <c r="O46" s="15" t="n"/>
    </row>
    <row r="47">
      <c r="A47" s="15" t="n"/>
      <c r="B47" s="16" t="n"/>
      <c r="C47" s="15" t="n"/>
      <c r="D47" s="17">
        <f>IF(C47="","",IFERROR(INDEX('Database Buyer'!$B$3:$B$247,MATCH(C47,'Database Buyer'!$A$3:$A$247,0)),"ID tidak ditemukan"))</f>
        <v/>
      </c>
      <c r="E47" s="17">
        <f>IF(C47="","",IFERROR(INDEX('Database Buyer'!$D$3:$D$247,MATCH(C47,'Database Buyer'!$A$3:$A$247,0)),""))</f>
        <v/>
      </c>
      <c r="F47" s="15" t="n"/>
      <c r="G47" s="15" t="n"/>
      <c r="H47" s="15" t="n"/>
      <c r="I47" s="18" t="n"/>
      <c r="J47" s="19" t="n"/>
      <c r="K47" s="20">
        <f>IF(OR(I47="",J47=""),"",I47*J47)</f>
        <v/>
      </c>
      <c r="L47" s="21">
        <f>IF(K47="","",K47*Panduan!$C$22)</f>
        <v/>
      </c>
      <c r="M47" s="16" t="n"/>
      <c r="N47" s="15" t="n"/>
      <c r="O47" s="15" t="n"/>
    </row>
    <row r="48">
      <c r="A48" s="15" t="n"/>
      <c r="B48" s="16" t="n"/>
      <c r="C48" s="15" t="n"/>
      <c r="D48" s="17">
        <f>IF(C48="","",IFERROR(INDEX('Database Buyer'!$B$3:$B$247,MATCH(C48,'Database Buyer'!$A$3:$A$247,0)),"ID tidak ditemukan"))</f>
        <v/>
      </c>
      <c r="E48" s="17">
        <f>IF(C48="","",IFERROR(INDEX('Database Buyer'!$D$3:$D$247,MATCH(C48,'Database Buyer'!$A$3:$A$247,0)),""))</f>
        <v/>
      </c>
      <c r="F48" s="15" t="n"/>
      <c r="G48" s="15" t="n"/>
      <c r="H48" s="15" t="n"/>
      <c r="I48" s="18" t="n"/>
      <c r="J48" s="19" t="n"/>
      <c r="K48" s="20">
        <f>IF(OR(I48="",J48=""),"",I48*J48)</f>
        <v/>
      </c>
      <c r="L48" s="21">
        <f>IF(K48="","",K48*Panduan!$C$22)</f>
        <v/>
      </c>
      <c r="M48" s="16" t="n"/>
      <c r="N48" s="15" t="n"/>
      <c r="O48" s="15" t="n"/>
    </row>
    <row r="49">
      <c r="A49" s="15" t="n"/>
      <c r="B49" s="16" t="n"/>
      <c r="C49" s="15" t="n"/>
      <c r="D49" s="17">
        <f>IF(C49="","",IFERROR(INDEX('Database Buyer'!$B$3:$B$247,MATCH(C49,'Database Buyer'!$A$3:$A$247,0)),"ID tidak ditemukan"))</f>
        <v/>
      </c>
      <c r="E49" s="17">
        <f>IF(C49="","",IFERROR(INDEX('Database Buyer'!$D$3:$D$247,MATCH(C49,'Database Buyer'!$A$3:$A$247,0)),""))</f>
        <v/>
      </c>
      <c r="F49" s="15" t="n"/>
      <c r="G49" s="15" t="n"/>
      <c r="H49" s="15" t="n"/>
      <c r="I49" s="18" t="n"/>
      <c r="J49" s="19" t="n"/>
      <c r="K49" s="20">
        <f>IF(OR(I49="",J49=""),"",I49*J49)</f>
        <v/>
      </c>
      <c r="L49" s="21">
        <f>IF(K49="","",K49*Panduan!$C$22)</f>
        <v/>
      </c>
      <c r="M49" s="16" t="n"/>
      <c r="N49" s="15" t="n"/>
      <c r="O49" s="15" t="n"/>
    </row>
    <row r="50">
      <c r="A50" s="15" t="n"/>
      <c r="B50" s="16" t="n"/>
      <c r="C50" s="15" t="n"/>
      <c r="D50" s="17">
        <f>IF(C50="","",IFERROR(INDEX('Database Buyer'!$B$3:$B$247,MATCH(C50,'Database Buyer'!$A$3:$A$247,0)),"ID tidak ditemukan"))</f>
        <v/>
      </c>
      <c r="E50" s="17">
        <f>IF(C50="","",IFERROR(INDEX('Database Buyer'!$D$3:$D$247,MATCH(C50,'Database Buyer'!$A$3:$A$247,0)),""))</f>
        <v/>
      </c>
      <c r="F50" s="15" t="n"/>
      <c r="G50" s="15" t="n"/>
      <c r="H50" s="15" t="n"/>
      <c r="I50" s="18" t="n"/>
      <c r="J50" s="19" t="n"/>
      <c r="K50" s="20">
        <f>IF(OR(I50="",J50=""),"",I50*J50)</f>
        <v/>
      </c>
      <c r="L50" s="21">
        <f>IF(K50="","",K50*Panduan!$C$22)</f>
        <v/>
      </c>
      <c r="M50" s="16" t="n"/>
      <c r="N50" s="15" t="n"/>
      <c r="O50" s="15" t="n"/>
    </row>
    <row r="51">
      <c r="A51" s="15" t="n"/>
      <c r="B51" s="16" t="n"/>
      <c r="C51" s="15" t="n"/>
      <c r="D51" s="17">
        <f>IF(C51="","",IFERROR(INDEX('Database Buyer'!$B$3:$B$247,MATCH(C51,'Database Buyer'!$A$3:$A$247,0)),"ID tidak ditemukan"))</f>
        <v/>
      </c>
      <c r="E51" s="17">
        <f>IF(C51="","",IFERROR(INDEX('Database Buyer'!$D$3:$D$247,MATCH(C51,'Database Buyer'!$A$3:$A$247,0)),""))</f>
        <v/>
      </c>
      <c r="F51" s="15" t="n"/>
      <c r="G51" s="15" t="n"/>
      <c r="H51" s="15" t="n"/>
      <c r="I51" s="18" t="n"/>
      <c r="J51" s="19" t="n"/>
      <c r="K51" s="20">
        <f>IF(OR(I51="",J51=""),"",I51*J51)</f>
        <v/>
      </c>
      <c r="L51" s="21">
        <f>IF(K51="","",K51*Panduan!$C$22)</f>
        <v/>
      </c>
      <c r="M51" s="16" t="n"/>
      <c r="N51" s="15" t="n"/>
      <c r="O51" s="15" t="n"/>
    </row>
    <row r="52">
      <c r="A52" s="15" t="n"/>
      <c r="B52" s="16" t="n"/>
      <c r="C52" s="15" t="n"/>
      <c r="D52" s="17">
        <f>IF(C52="","",IFERROR(INDEX('Database Buyer'!$B$3:$B$247,MATCH(C52,'Database Buyer'!$A$3:$A$247,0)),"ID tidak ditemukan"))</f>
        <v/>
      </c>
      <c r="E52" s="17">
        <f>IF(C52="","",IFERROR(INDEX('Database Buyer'!$D$3:$D$247,MATCH(C52,'Database Buyer'!$A$3:$A$247,0)),""))</f>
        <v/>
      </c>
      <c r="F52" s="15" t="n"/>
      <c r="G52" s="15" t="n"/>
      <c r="H52" s="15" t="n"/>
      <c r="I52" s="18" t="n"/>
      <c r="J52" s="19" t="n"/>
      <c r="K52" s="20">
        <f>IF(OR(I52="",J52=""),"",I52*J52)</f>
        <v/>
      </c>
      <c r="L52" s="21">
        <f>IF(K52="","",K52*Panduan!$C$22)</f>
        <v/>
      </c>
      <c r="M52" s="16" t="n"/>
      <c r="N52" s="15" t="n"/>
      <c r="O52" s="15" t="n"/>
    </row>
    <row r="53">
      <c r="A53" s="15" t="n"/>
      <c r="B53" s="16" t="n"/>
      <c r="C53" s="15" t="n"/>
      <c r="D53" s="17">
        <f>IF(C53="","",IFERROR(INDEX('Database Buyer'!$B$3:$B$247,MATCH(C53,'Database Buyer'!$A$3:$A$247,0)),"ID tidak ditemukan"))</f>
        <v/>
      </c>
      <c r="E53" s="17">
        <f>IF(C53="","",IFERROR(INDEX('Database Buyer'!$D$3:$D$247,MATCH(C53,'Database Buyer'!$A$3:$A$247,0)),""))</f>
        <v/>
      </c>
      <c r="F53" s="15" t="n"/>
      <c r="G53" s="15" t="n"/>
      <c r="H53" s="15" t="n"/>
      <c r="I53" s="18" t="n"/>
      <c r="J53" s="19" t="n"/>
      <c r="K53" s="20">
        <f>IF(OR(I53="",J53=""),"",I53*J53)</f>
        <v/>
      </c>
      <c r="L53" s="21">
        <f>IF(K53="","",K53*Panduan!$C$22)</f>
        <v/>
      </c>
      <c r="M53" s="16" t="n"/>
      <c r="N53" s="15" t="n"/>
      <c r="O53" s="15" t="n"/>
    </row>
    <row r="54">
      <c r="A54" s="15" t="n"/>
      <c r="B54" s="16" t="n"/>
      <c r="C54" s="15" t="n"/>
      <c r="D54" s="17">
        <f>IF(C54="","",IFERROR(INDEX('Database Buyer'!$B$3:$B$247,MATCH(C54,'Database Buyer'!$A$3:$A$247,0)),"ID tidak ditemukan"))</f>
        <v/>
      </c>
      <c r="E54" s="17">
        <f>IF(C54="","",IFERROR(INDEX('Database Buyer'!$D$3:$D$247,MATCH(C54,'Database Buyer'!$A$3:$A$247,0)),""))</f>
        <v/>
      </c>
      <c r="F54" s="15" t="n"/>
      <c r="G54" s="15" t="n"/>
      <c r="H54" s="15" t="n"/>
      <c r="I54" s="18" t="n"/>
      <c r="J54" s="19" t="n"/>
      <c r="K54" s="20">
        <f>IF(OR(I54="",J54=""),"",I54*J54)</f>
        <v/>
      </c>
      <c r="L54" s="21">
        <f>IF(K54="","",K54*Panduan!$C$22)</f>
        <v/>
      </c>
      <c r="M54" s="16" t="n"/>
      <c r="N54" s="15" t="n"/>
      <c r="O54" s="15" t="n"/>
    </row>
    <row r="55">
      <c r="A55" s="15" t="n"/>
      <c r="B55" s="16" t="n"/>
      <c r="C55" s="15" t="n"/>
      <c r="D55" s="17">
        <f>IF(C55="","",IFERROR(INDEX('Database Buyer'!$B$3:$B$247,MATCH(C55,'Database Buyer'!$A$3:$A$247,0)),"ID tidak ditemukan"))</f>
        <v/>
      </c>
      <c r="E55" s="17">
        <f>IF(C55="","",IFERROR(INDEX('Database Buyer'!$D$3:$D$247,MATCH(C55,'Database Buyer'!$A$3:$A$247,0)),""))</f>
        <v/>
      </c>
      <c r="F55" s="15" t="n"/>
      <c r="G55" s="15" t="n"/>
      <c r="H55" s="15" t="n"/>
      <c r="I55" s="18" t="n"/>
      <c r="J55" s="19" t="n"/>
      <c r="K55" s="20">
        <f>IF(OR(I55="",J55=""),"",I55*J55)</f>
        <v/>
      </c>
      <c r="L55" s="21">
        <f>IF(K55="","",K55*Panduan!$C$22)</f>
        <v/>
      </c>
      <c r="M55" s="16" t="n"/>
      <c r="N55" s="15" t="n"/>
      <c r="O55" s="15" t="n"/>
    </row>
    <row r="56">
      <c r="A56" s="15" t="n"/>
      <c r="B56" s="16" t="n"/>
      <c r="C56" s="15" t="n"/>
      <c r="D56" s="17">
        <f>IF(C56="","",IFERROR(INDEX('Database Buyer'!$B$3:$B$247,MATCH(C56,'Database Buyer'!$A$3:$A$247,0)),"ID tidak ditemukan"))</f>
        <v/>
      </c>
      <c r="E56" s="17">
        <f>IF(C56="","",IFERROR(INDEX('Database Buyer'!$D$3:$D$247,MATCH(C56,'Database Buyer'!$A$3:$A$247,0)),""))</f>
        <v/>
      </c>
      <c r="F56" s="15" t="n"/>
      <c r="G56" s="15" t="n"/>
      <c r="H56" s="15" t="n"/>
      <c r="I56" s="18" t="n"/>
      <c r="J56" s="19" t="n"/>
      <c r="K56" s="20">
        <f>IF(OR(I56="",J56=""),"",I56*J56)</f>
        <v/>
      </c>
      <c r="L56" s="21">
        <f>IF(K56="","",K56*Panduan!$C$22)</f>
        <v/>
      </c>
      <c r="M56" s="16" t="n"/>
      <c r="N56" s="15" t="n"/>
      <c r="O56" s="15" t="n"/>
    </row>
    <row r="57">
      <c r="A57" s="15" t="n"/>
      <c r="B57" s="16" t="n"/>
      <c r="C57" s="15" t="n"/>
      <c r="D57" s="17">
        <f>IF(C57="","",IFERROR(INDEX('Database Buyer'!$B$3:$B$247,MATCH(C57,'Database Buyer'!$A$3:$A$247,0)),"ID tidak ditemukan"))</f>
        <v/>
      </c>
      <c r="E57" s="17">
        <f>IF(C57="","",IFERROR(INDEX('Database Buyer'!$D$3:$D$247,MATCH(C57,'Database Buyer'!$A$3:$A$247,0)),""))</f>
        <v/>
      </c>
      <c r="F57" s="15" t="n"/>
      <c r="G57" s="15" t="n"/>
      <c r="H57" s="15" t="n"/>
      <c r="I57" s="18" t="n"/>
      <c r="J57" s="19" t="n"/>
      <c r="K57" s="20">
        <f>IF(OR(I57="",J57=""),"",I57*J57)</f>
        <v/>
      </c>
      <c r="L57" s="21">
        <f>IF(K57="","",K57*Panduan!$C$22)</f>
        <v/>
      </c>
      <c r="M57" s="16" t="n"/>
      <c r="N57" s="15" t="n"/>
      <c r="O57" s="15" t="n"/>
    </row>
    <row r="58">
      <c r="A58" s="15" t="n"/>
      <c r="B58" s="16" t="n"/>
      <c r="C58" s="15" t="n"/>
      <c r="D58" s="17">
        <f>IF(C58="","",IFERROR(INDEX('Database Buyer'!$B$3:$B$247,MATCH(C58,'Database Buyer'!$A$3:$A$247,0)),"ID tidak ditemukan"))</f>
        <v/>
      </c>
      <c r="E58" s="17">
        <f>IF(C58="","",IFERROR(INDEX('Database Buyer'!$D$3:$D$247,MATCH(C58,'Database Buyer'!$A$3:$A$247,0)),""))</f>
        <v/>
      </c>
      <c r="F58" s="15" t="n"/>
      <c r="G58" s="15" t="n"/>
      <c r="H58" s="15" t="n"/>
      <c r="I58" s="18" t="n"/>
      <c r="J58" s="19" t="n"/>
      <c r="K58" s="20">
        <f>IF(OR(I58="",J58=""),"",I58*J58)</f>
        <v/>
      </c>
      <c r="L58" s="21">
        <f>IF(K58="","",K58*Panduan!$C$22)</f>
        <v/>
      </c>
      <c r="M58" s="16" t="n"/>
      <c r="N58" s="15" t="n"/>
      <c r="O58" s="15" t="n"/>
    </row>
    <row r="59">
      <c r="A59" s="15" t="n"/>
      <c r="B59" s="16" t="n"/>
      <c r="C59" s="15" t="n"/>
      <c r="D59" s="17">
        <f>IF(C59="","",IFERROR(INDEX('Database Buyer'!$B$3:$B$247,MATCH(C59,'Database Buyer'!$A$3:$A$247,0)),"ID tidak ditemukan"))</f>
        <v/>
      </c>
      <c r="E59" s="17">
        <f>IF(C59="","",IFERROR(INDEX('Database Buyer'!$D$3:$D$247,MATCH(C59,'Database Buyer'!$A$3:$A$247,0)),""))</f>
        <v/>
      </c>
      <c r="F59" s="15" t="n"/>
      <c r="G59" s="15" t="n"/>
      <c r="H59" s="15" t="n"/>
      <c r="I59" s="18" t="n"/>
      <c r="J59" s="19" t="n"/>
      <c r="K59" s="20">
        <f>IF(OR(I59="",J59=""),"",I59*J59)</f>
        <v/>
      </c>
      <c r="L59" s="21">
        <f>IF(K59="","",K59*Panduan!$C$22)</f>
        <v/>
      </c>
      <c r="M59" s="16" t="n"/>
      <c r="N59" s="15" t="n"/>
      <c r="O59" s="15" t="n"/>
    </row>
    <row r="60">
      <c r="A60" s="15" t="n"/>
      <c r="B60" s="16" t="n"/>
      <c r="C60" s="15" t="n"/>
      <c r="D60" s="17">
        <f>IF(C60="","",IFERROR(INDEX('Database Buyer'!$B$3:$B$247,MATCH(C60,'Database Buyer'!$A$3:$A$247,0)),"ID tidak ditemukan"))</f>
        <v/>
      </c>
      <c r="E60" s="17">
        <f>IF(C60="","",IFERROR(INDEX('Database Buyer'!$D$3:$D$247,MATCH(C60,'Database Buyer'!$A$3:$A$247,0)),""))</f>
        <v/>
      </c>
      <c r="F60" s="15" t="n"/>
      <c r="G60" s="15" t="n"/>
      <c r="H60" s="15" t="n"/>
      <c r="I60" s="18" t="n"/>
      <c r="J60" s="19" t="n"/>
      <c r="K60" s="20">
        <f>IF(OR(I60="",J60=""),"",I60*J60)</f>
        <v/>
      </c>
      <c r="L60" s="21">
        <f>IF(K60="","",K60*Panduan!$C$22)</f>
        <v/>
      </c>
      <c r="M60" s="16" t="n"/>
      <c r="N60" s="15" t="n"/>
      <c r="O60" s="15" t="n"/>
    </row>
    <row r="61">
      <c r="A61" s="15" t="n"/>
      <c r="B61" s="16" t="n"/>
      <c r="C61" s="15" t="n"/>
      <c r="D61" s="17">
        <f>IF(C61="","",IFERROR(INDEX('Database Buyer'!$B$3:$B$247,MATCH(C61,'Database Buyer'!$A$3:$A$247,0)),"ID tidak ditemukan"))</f>
        <v/>
      </c>
      <c r="E61" s="17">
        <f>IF(C61="","",IFERROR(INDEX('Database Buyer'!$D$3:$D$247,MATCH(C61,'Database Buyer'!$A$3:$A$247,0)),""))</f>
        <v/>
      </c>
      <c r="F61" s="15" t="n"/>
      <c r="G61" s="15" t="n"/>
      <c r="H61" s="15" t="n"/>
      <c r="I61" s="18" t="n"/>
      <c r="J61" s="19" t="n"/>
      <c r="K61" s="20">
        <f>IF(OR(I61="",J61=""),"",I61*J61)</f>
        <v/>
      </c>
      <c r="L61" s="21">
        <f>IF(K61="","",K61*Panduan!$C$22)</f>
        <v/>
      </c>
      <c r="M61" s="16" t="n"/>
      <c r="N61" s="15" t="n"/>
      <c r="O61" s="15" t="n"/>
    </row>
    <row r="62">
      <c r="A62" s="15" t="n"/>
      <c r="B62" s="16" t="n"/>
      <c r="C62" s="15" t="n"/>
      <c r="D62" s="17">
        <f>IF(C62="","",IFERROR(INDEX('Database Buyer'!$B$3:$B$247,MATCH(C62,'Database Buyer'!$A$3:$A$247,0)),"ID tidak ditemukan"))</f>
        <v/>
      </c>
      <c r="E62" s="17">
        <f>IF(C62="","",IFERROR(INDEX('Database Buyer'!$D$3:$D$247,MATCH(C62,'Database Buyer'!$A$3:$A$247,0)),""))</f>
        <v/>
      </c>
      <c r="F62" s="15" t="n"/>
      <c r="G62" s="15" t="n"/>
      <c r="H62" s="15" t="n"/>
      <c r="I62" s="18" t="n"/>
      <c r="J62" s="19" t="n"/>
      <c r="K62" s="20">
        <f>IF(OR(I62="",J62=""),"",I62*J62)</f>
        <v/>
      </c>
      <c r="L62" s="21">
        <f>IF(K62="","",K62*Panduan!$C$22)</f>
        <v/>
      </c>
      <c r="M62" s="16" t="n"/>
      <c r="N62" s="15" t="n"/>
      <c r="O62" s="15" t="n"/>
    </row>
    <row r="63">
      <c r="A63" s="15" t="n"/>
      <c r="B63" s="16" t="n"/>
      <c r="C63" s="15" t="n"/>
      <c r="D63" s="17">
        <f>IF(C63="","",IFERROR(INDEX('Database Buyer'!$B$3:$B$247,MATCH(C63,'Database Buyer'!$A$3:$A$247,0)),"ID tidak ditemukan"))</f>
        <v/>
      </c>
      <c r="E63" s="17">
        <f>IF(C63="","",IFERROR(INDEX('Database Buyer'!$D$3:$D$247,MATCH(C63,'Database Buyer'!$A$3:$A$247,0)),""))</f>
        <v/>
      </c>
      <c r="F63" s="15" t="n"/>
      <c r="G63" s="15" t="n"/>
      <c r="H63" s="15" t="n"/>
      <c r="I63" s="18" t="n"/>
      <c r="J63" s="19" t="n"/>
      <c r="K63" s="20">
        <f>IF(OR(I63="",J63=""),"",I63*J63)</f>
        <v/>
      </c>
      <c r="L63" s="21">
        <f>IF(K63="","",K63*Panduan!$C$22)</f>
        <v/>
      </c>
      <c r="M63" s="16" t="n"/>
      <c r="N63" s="15" t="n"/>
      <c r="O63" s="15" t="n"/>
    </row>
    <row r="64">
      <c r="A64" s="15" t="n"/>
      <c r="B64" s="16" t="n"/>
      <c r="C64" s="15" t="n"/>
      <c r="D64" s="17">
        <f>IF(C64="","",IFERROR(INDEX('Database Buyer'!$B$3:$B$247,MATCH(C64,'Database Buyer'!$A$3:$A$247,0)),"ID tidak ditemukan"))</f>
        <v/>
      </c>
      <c r="E64" s="17">
        <f>IF(C64="","",IFERROR(INDEX('Database Buyer'!$D$3:$D$247,MATCH(C64,'Database Buyer'!$A$3:$A$247,0)),""))</f>
        <v/>
      </c>
      <c r="F64" s="15" t="n"/>
      <c r="G64" s="15" t="n"/>
      <c r="H64" s="15" t="n"/>
      <c r="I64" s="18" t="n"/>
      <c r="J64" s="19" t="n"/>
      <c r="K64" s="20">
        <f>IF(OR(I64="",J64=""),"",I64*J64)</f>
        <v/>
      </c>
      <c r="L64" s="21">
        <f>IF(K64="","",K64*Panduan!$C$22)</f>
        <v/>
      </c>
      <c r="M64" s="16" t="n"/>
      <c r="N64" s="15" t="n"/>
      <c r="O64" s="15" t="n"/>
    </row>
    <row r="65">
      <c r="A65" s="15" t="n"/>
      <c r="B65" s="16" t="n"/>
      <c r="C65" s="15" t="n"/>
      <c r="D65" s="17">
        <f>IF(C65="","",IFERROR(INDEX('Database Buyer'!$B$3:$B$247,MATCH(C65,'Database Buyer'!$A$3:$A$247,0)),"ID tidak ditemukan"))</f>
        <v/>
      </c>
      <c r="E65" s="17">
        <f>IF(C65="","",IFERROR(INDEX('Database Buyer'!$D$3:$D$247,MATCH(C65,'Database Buyer'!$A$3:$A$247,0)),""))</f>
        <v/>
      </c>
      <c r="F65" s="15" t="n"/>
      <c r="G65" s="15" t="n"/>
      <c r="H65" s="15" t="n"/>
      <c r="I65" s="18" t="n"/>
      <c r="J65" s="19" t="n"/>
      <c r="K65" s="20">
        <f>IF(OR(I65="",J65=""),"",I65*J65)</f>
        <v/>
      </c>
      <c r="L65" s="21">
        <f>IF(K65="","",K65*Panduan!$C$22)</f>
        <v/>
      </c>
      <c r="M65" s="16" t="n"/>
      <c r="N65" s="15" t="n"/>
      <c r="O65" s="15" t="n"/>
    </row>
    <row r="66">
      <c r="A66" s="15" t="n"/>
      <c r="B66" s="16" t="n"/>
      <c r="C66" s="15" t="n"/>
      <c r="D66" s="17">
        <f>IF(C66="","",IFERROR(INDEX('Database Buyer'!$B$3:$B$247,MATCH(C66,'Database Buyer'!$A$3:$A$247,0)),"ID tidak ditemukan"))</f>
        <v/>
      </c>
      <c r="E66" s="17">
        <f>IF(C66="","",IFERROR(INDEX('Database Buyer'!$D$3:$D$247,MATCH(C66,'Database Buyer'!$A$3:$A$247,0)),""))</f>
        <v/>
      </c>
      <c r="F66" s="15" t="n"/>
      <c r="G66" s="15" t="n"/>
      <c r="H66" s="15" t="n"/>
      <c r="I66" s="18" t="n"/>
      <c r="J66" s="19" t="n"/>
      <c r="K66" s="20">
        <f>IF(OR(I66="",J66=""),"",I66*J66)</f>
        <v/>
      </c>
      <c r="L66" s="21">
        <f>IF(K66="","",K66*Panduan!$C$22)</f>
        <v/>
      </c>
      <c r="M66" s="16" t="n"/>
      <c r="N66" s="15" t="n"/>
      <c r="O66" s="15" t="n"/>
    </row>
    <row r="67">
      <c r="A67" s="15" t="n"/>
      <c r="B67" s="16" t="n"/>
      <c r="C67" s="15" t="n"/>
      <c r="D67" s="17">
        <f>IF(C67="","",IFERROR(INDEX('Database Buyer'!$B$3:$B$247,MATCH(C67,'Database Buyer'!$A$3:$A$247,0)),"ID tidak ditemukan"))</f>
        <v/>
      </c>
      <c r="E67" s="17">
        <f>IF(C67="","",IFERROR(INDEX('Database Buyer'!$D$3:$D$247,MATCH(C67,'Database Buyer'!$A$3:$A$247,0)),""))</f>
        <v/>
      </c>
      <c r="F67" s="15" t="n"/>
      <c r="G67" s="15" t="n"/>
      <c r="H67" s="15" t="n"/>
      <c r="I67" s="18" t="n"/>
      <c r="J67" s="19" t="n"/>
      <c r="K67" s="20">
        <f>IF(OR(I67="",J67=""),"",I67*J67)</f>
        <v/>
      </c>
      <c r="L67" s="21">
        <f>IF(K67="","",K67*Panduan!$C$22)</f>
        <v/>
      </c>
      <c r="M67" s="16" t="n"/>
      <c r="N67" s="15" t="n"/>
      <c r="O67" s="15" t="n"/>
    </row>
    <row r="68">
      <c r="A68" s="15" t="n"/>
      <c r="B68" s="16" t="n"/>
      <c r="C68" s="15" t="n"/>
      <c r="D68" s="17">
        <f>IF(C68="","",IFERROR(INDEX('Database Buyer'!$B$3:$B$247,MATCH(C68,'Database Buyer'!$A$3:$A$247,0)),"ID tidak ditemukan"))</f>
        <v/>
      </c>
      <c r="E68" s="17">
        <f>IF(C68="","",IFERROR(INDEX('Database Buyer'!$D$3:$D$247,MATCH(C68,'Database Buyer'!$A$3:$A$247,0)),""))</f>
        <v/>
      </c>
      <c r="F68" s="15" t="n"/>
      <c r="G68" s="15" t="n"/>
      <c r="H68" s="15" t="n"/>
      <c r="I68" s="18" t="n"/>
      <c r="J68" s="19" t="n"/>
      <c r="K68" s="20">
        <f>IF(OR(I68="",J68=""),"",I68*J68)</f>
        <v/>
      </c>
      <c r="L68" s="21">
        <f>IF(K68="","",K68*Panduan!$C$22)</f>
        <v/>
      </c>
      <c r="M68" s="16" t="n"/>
      <c r="N68" s="15" t="n"/>
      <c r="O68" s="15" t="n"/>
    </row>
    <row r="69">
      <c r="A69" s="15" t="n"/>
      <c r="B69" s="16" t="n"/>
      <c r="C69" s="15" t="n"/>
      <c r="D69" s="17">
        <f>IF(C69="","",IFERROR(INDEX('Database Buyer'!$B$3:$B$247,MATCH(C69,'Database Buyer'!$A$3:$A$247,0)),"ID tidak ditemukan"))</f>
        <v/>
      </c>
      <c r="E69" s="17">
        <f>IF(C69="","",IFERROR(INDEX('Database Buyer'!$D$3:$D$247,MATCH(C69,'Database Buyer'!$A$3:$A$247,0)),""))</f>
        <v/>
      </c>
      <c r="F69" s="15" t="n"/>
      <c r="G69" s="15" t="n"/>
      <c r="H69" s="15" t="n"/>
      <c r="I69" s="18" t="n"/>
      <c r="J69" s="19" t="n"/>
      <c r="K69" s="20">
        <f>IF(OR(I69="",J69=""),"",I69*J69)</f>
        <v/>
      </c>
      <c r="L69" s="21">
        <f>IF(K69="","",K69*Panduan!$C$22)</f>
        <v/>
      </c>
      <c r="M69" s="16" t="n"/>
      <c r="N69" s="15" t="n"/>
      <c r="O69" s="15" t="n"/>
    </row>
    <row r="70">
      <c r="A70" s="15" t="n"/>
      <c r="B70" s="16" t="n"/>
      <c r="C70" s="15" t="n"/>
      <c r="D70" s="17">
        <f>IF(C70="","",IFERROR(INDEX('Database Buyer'!$B$3:$B$247,MATCH(C70,'Database Buyer'!$A$3:$A$247,0)),"ID tidak ditemukan"))</f>
        <v/>
      </c>
      <c r="E70" s="17">
        <f>IF(C70="","",IFERROR(INDEX('Database Buyer'!$D$3:$D$247,MATCH(C70,'Database Buyer'!$A$3:$A$247,0)),""))</f>
        <v/>
      </c>
      <c r="F70" s="15" t="n"/>
      <c r="G70" s="15" t="n"/>
      <c r="H70" s="15" t="n"/>
      <c r="I70" s="18" t="n"/>
      <c r="J70" s="19" t="n"/>
      <c r="K70" s="20">
        <f>IF(OR(I70="",J70=""),"",I70*J70)</f>
        <v/>
      </c>
      <c r="L70" s="21">
        <f>IF(K70="","",K70*Panduan!$C$22)</f>
        <v/>
      </c>
      <c r="M70" s="16" t="n"/>
      <c r="N70" s="15" t="n"/>
      <c r="O70" s="15" t="n"/>
    </row>
    <row r="71">
      <c r="A71" s="15" t="n"/>
      <c r="B71" s="16" t="n"/>
      <c r="C71" s="15" t="n"/>
      <c r="D71" s="17">
        <f>IF(C71="","",IFERROR(INDEX('Database Buyer'!$B$3:$B$247,MATCH(C71,'Database Buyer'!$A$3:$A$247,0)),"ID tidak ditemukan"))</f>
        <v/>
      </c>
      <c r="E71" s="17">
        <f>IF(C71="","",IFERROR(INDEX('Database Buyer'!$D$3:$D$247,MATCH(C71,'Database Buyer'!$A$3:$A$247,0)),""))</f>
        <v/>
      </c>
      <c r="F71" s="15" t="n"/>
      <c r="G71" s="15" t="n"/>
      <c r="H71" s="15" t="n"/>
      <c r="I71" s="18" t="n"/>
      <c r="J71" s="19" t="n"/>
      <c r="K71" s="20">
        <f>IF(OR(I71="",J71=""),"",I71*J71)</f>
        <v/>
      </c>
      <c r="L71" s="21">
        <f>IF(K71="","",K71*Panduan!$C$22)</f>
        <v/>
      </c>
      <c r="M71" s="16" t="n"/>
      <c r="N71" s="15" t="n"/>
      <c r="O71" s="15" t="n"/>
    </row>
    <row r="72">
      <c r="A72" s="15" t="n"/>
      <c r="B72" s="16" t="n"/>
      <c r="C72" s="15" t="n"/>
      <c r="D72" s="17">
        <f>IF(C72="","",IFERROR(INDEX('Database Buyer'!$B$3:$B$247,MATCH(C72,'Database Buyer'!$A$3:$A$247,0)),"ID tidak ditemukan"))</f>
        <v/>
      </c>
      <c r="E72" s="17">
        <f>IF(C72="","",IFERROR(INDEX('Database Buyer'!$D$3:$D$247,MATCH(C72,'Database Buyer'!$A$3:$A$247,0)),""))</f>
        <v/>
      </c>
      <c r="F72" s="15" t="n"/>
      <c r="G72" s="15" t="n"/>
      <c r="H72" s="15" t="n"/>
      <c r="I72" s="18" t="n"/>
      <c r="J72" s="19" t="n"/>
      <c r="K72" s="20">
        <f>IF(OR(I72="",J72=""),"",I72*J72)</f>
        <v/>
      </c>
      <c r="L72" s="21">
        <f>IF(K72="","",K72*Panduan!$C$22)</f>
        <v/>
      </c>
      <c r="M72" s="16" t="n"/>
      <c r="N72" s="15" t="n"/>
      <c r="O72" s="15" t="n"/>
    </row>
    <row r="73">
      <c r="A73" s="15" t="n"/>
      <c r="B73" s="16" t="n"/>
      <c r="C73" s="15" t="n"/>
      <c r="D73" s="17">
        <f>IF(C73="","",IFERROR(INDEX('Database Buyer'!$B$3:$B$247,MATCH(C73,'Database Buyer'!$A$3:$A$247,0)),"ID tidak ditemukan"))</f>
        <v/>
      </c>
      <c r="E73" s="17">
        <f>IF(C73="","",IFERROR(INDEX('Database Buyer'!$D$3:$D$247,MATCH(C73,'Database Buyer'!$A$3:$A$247,0)),""))</f>
        <v/>
      </c>
      <c r="F73" s="15" t="n"/>
      <c r="G73" s="15" t="n"/>
      <c r="H73" s="15" t="n"/>
      <c r="I73" s="18" t="n"/>
      <c r="J73" s="19" t="n"/>
      <c r="K73" s="20">
        <f>IF(OR(I73="",J73=""),"",I73*J73)</f>
        <v/>
      </c>
      <c r="L73" s="21">
        <f>IF(K73="","",K73*Panduan!$C$22)</f>
        <v/>
      </c>
      <c r="M73" s="16" t="n"/>
      <c r="N73" s="15" t="n"/>
      <c r="O73" s="15" t="n"/>
    </row>
    <row r="74">
      <c r="A74" s="15" t="n"/>
      <c r="B74" s="16" t="n"/>
      <c r="C74" s="15" t="n"/>
      <c r="D74" s="17">
        <f>IF(C74="","",IFERROR(INDEX('Database Buyer'!$B$3:$B$247,MATCH(C74,'Database Buyer'!$A$3:$A$247,0)),"ID tidak ditemukan"))</f>
        <v/>
      </c>
      <c r="E74" s="17">
        <f>IF(C74="","",IFERROR(INDEX('Database Buyer'!$D$3:$D$247,MATCH(C74,'Database Buyer'!$A$3:$A$247,0)),""))</f>
        <v/>
      </c>
      <c r="F74" s="15" t="n"/>
      <c r="G74" s="15" t="n"/>
      <c r="H74" s="15" t="n"/>
      <c r="I74" s="18" t="n"/>
      <c r="J74" s="19" t="n"/>
      <c r="K74" s="20">
        <f>IF(OR(I74="",J74=""),"",I74*J74)</f>
        <v/>
      </c>
      <c r="L74" s="21">
        <f>IF(K74="","",K74*Panduan!$C$22)</f>
        <v/>
      </c>
      <c r="M74" s="16" t="n"/>
      <c r="N74" s="15" t="n"/>
      <c r="O74" s="15" t="n"/>
    </row>
    <row r="75">
      <c r="A75" s="15" t="n"/>
      <c r="B75" s="16" t="n"/>
      <c r="C75" s="15" t="n"/>
      <c r="D75" s="17">
        <f>IF(C75="","",IFERROR(INDEX('Database Buyer'!$B$3:$B$247,MATCH(C75,'Database Buyer'!$A$3:$A$247,0)),"ID tidak ditemukan"))</f>
        <v/>
      </c>
      <c r="E75" s="17">
        <f>IF(C75="","",IFERROR(INDEX('Database Buyer'!$D$3:$D$247,MATCH(C75,'Database Buyer'!$A$3:$A$247,0)),""))</f>
        <v/>
      </c>
      <c r="F75" s="15" t="n"/>
      <c r="G75" s="15" t="n"/>
      <c r="H75" s="15" t="n"/>
      <c r="I75" s="18" t="n"/>
      <c r="J75" s="19" t="n"/>
      <c r="K75" s="20">
        <f>IF(OR(I75="",J75=""),"",I75*J75)</f>
        <v/>
      </c>
      <c r="L75" s="21">
        <f>IF(K75="","",K75*Panduan!$C$22)</f>
        <v/>
      </c>
      <c r="M75" s="16" t="n"/>
      <c r="N75" s="15" t="n"/>
      <c r="O75" s="15" t="n"/>
    </row>
    <row r="76">
      <c r="A76" s="15" t="n"/>
      <c r="B76" s="16" t="n"/>
      <c r="C76" s="15" t="n"/>
      <c r="D76" s="17">
        <f>IF(C76="","",IFERROR(INDEX('Database Buyer'!$B$3:$B$247,MATCH(C76,'Database Buyer'!$A$3:$A$247,0)),"ID tidak ditemukan"))</f>
        <v/>
      </c>
      <c r="E76" s="17">
        <f>IF(C76="","",IFERROR(INDEX('Database Buyer'!$D$3:$D$247,MATCH(C76,'Database Buyer'!$A$3:$A$247,0)),""))</f>
        <v/>
      </c>
      <c r="F76" s="15" t="n"/>
      <c r="G76" s="15" t="n"/>
      <c r="H76" s="15" t="n"/>
      <c r="I76" s="18" t="n"/>
      <c r="J76" s="19" t="n"/>
      <c r="K76" s="20">
        <f>IF(OR(I76="",J76=""),"",I76*J76)</f>
        <v/>
      </c>
      <c r="L76" s="21">
        <f>IF(K76="","",K76*Panduan!$C$22)</f>
        <v/>
      </c>
      <c r="M76" s="16" t="n"/>
      <c r="N76" s="15" t="n"/>
      <c r="O76" s="15" t="n"/>
    </row>
    <row r="77">
      <c r="A77" s="15" t="n"/>
      <c r="B77" s="16" t="n"/>
      <c r="C77" s="15" t="n"/>
      <c r="D77" s="17">
        <f>IF(C77="","",IFERROR(INDEX('Database Buyer'!$B$3:$B$247,MATCH(C77,'Database Buyer'!$A$3:$A$247,0)),"ID tidak ditemukan"))</f>
        <v/>
      </c>
      <c r="E77" s="17">
        <f>IF(C77="","",IFERROR(INDEX('Database Buyer'!$D$3:$D$247,MATCH(C77,'Database Buyer'!$A$3:$A$247,0)),""))</f>
        <v/>
      </c>
      <c r="F77" s="15" t="n"/>
      <c r="G77" s="15" t="n"/>
      <c r="H77" s="15" t="n"/>
      <c r="I77" s="18" t="n"/>
      <c r="J77" s="19" t="n"/>
      <c r="K77" s="20">
        <f>IF(OR(I77="",J77=""),"",I77*J77)</f>
        <v/>
      </c>
      <c r="L77" s="21">
        <f>IF(K77="","",K77*Panduan!$C$22)</f>
        <v/>
      </c>
      <c r="M77" s="16" t="n"/>
      <c r="N77" s="15" t="n"/>
      <c r="O77" s="15" t="n"/>
    </row>
    <row r="78">
      <c r="A78" s="15" t="n"/>
      <c r="B78" s="16" t="n"/>
      <c r="C78" s="15" t="n"/>
      <c r="D78" s="17">
        <f>IF(C78="","",IFERROR(INDEX('Database Buyer'!$B$3:$B$247,MATCH(C78,'Database Buyer'!$A$3:$A$247,0)),"ID tidak ditemukan"))</f>
        <v/>
      </c>
      <c r="E78" s="17">
        <f>IF(C78="","",IFERROR(INDEX('Database Buyer'!$D$3:$D$247,MATCH(C78,'Database Buyer'!$A$3:$A$247,0)),""))</f>
        <v/>
      </c>
      <c r="F78" s="15" t="n"/>
      <c r="G78" s="15" t="n"/>
      <c r="H78" s="15" t="n"/>
      <c r="I78" s="18" t="n"/>
      <c r="J78" s="19" t="n"/>
      <c r="K78" s="20">
        <f>IF(OR(I78="",J78=""),"",I78*J78)</f>
        <v/>
      </c>
      <c r="L78" s="21">
        <f>IF(K78="","",K78*Panduan!$C$22)</f>
        <v/>
      </c>
      <c r="M78" s="16" t="n"/>
      <c r="N78" s="15" t="n"/>
      <c r="O78" s="15" t="n"/>
    </row>
    <row r="79">
      <c r="A79" s="15" t="n"/>
      <c r="B79" s="16" t="n"/>
      <c r="C79" s="15" t="n"/>
      <c r="D79" s="17">
        <f>IF(C79="","",IFERROR(INDEX('Database Buyer'!$B$3:$B$247,MATCH(C79,'Database Buyer'!$A$3:$A$247,0)),"ID tidak ditemukan"))</f>
        <v/>
      </c>
      <c r="E79" s="17">
        <f>IF(C79="","",IFERROR(INDEX('Database Buyer'!$D$3:$D$247,MATCH(C79,'Database Buyer'!$A$3:$A$247,0)),""))</f>
        <v/>
      </c>
      <c r="F79" s="15" t="n"/>
      <c r="G79" s="15" t="n"/>
      <c r="H79" s="15" t="n"/>
      <c r="I79" s="18" t="n"/>
      <c r="J79" s="19" t="n"/>
      <c r="K79" s="20">
        <f>IF(OR(I79="",J79=""),"",I79*J79)</f>
        <v/>
      </c>
      <c r="L79" s="21">
        <f>IF(K79="","",K79*Panduan!$C$22)</f>
        <v/>
      </c>
      <c r="M79" s="16" t="n"/>
      <c r="N79" s="15" t="n"/>
      <c r="O79" s="15" t="n"/>
    </row>
    <row r="80">
      <c r="A80" s="15" t="n"/>
      <c r="B80" s="16" t="n"/>
      <c r="C80" s="15" t="n"/>
      <c r="D80" s="17">
        <f>IF(C80="","",IFERROR(INDEX('Database Buyer'!$B$3:$B$247,MATCH(C80,'Database Buyer'!$A$3:$A$247,0)),"ID tidak ditemukan"))</f>
        <v/>
      </c>
      <c r="E80" s="17">
        <f>IF(C80="","",IFERROR(INDEX('Database Buyer'!$D$3:$D$247,MATCH(C80,'Database Buyer'!$A$3:$A$247,0)),""))</f>
        <v/>
      </c>
      <c r="F80" s="15" t="n"/>
      <c r="G80" s="15" t="n"/>
      <c r="H80" s="15" t="n"/>
      <c r="I80" s="18" t="n"/>
      <c r="J80" s="19" t="n"/>
      <c r="K80" s="20">
        <f>IF(OR(I80="",J80=""),"",I80*J80)</f>
        <v/>
      </c>
      <c r="L80" s="21">
        <f>IF(K80="","",K80*Panduan!$C$22)</f>
        <v/>
      </c>
      <c r="M80" s="16" t="n"/>
      <c r="N80" s="15" t="n"/>
      <c r="O80" s="15" t="n"/>
    </row>
    <row r="81">
      <c r="A81" s="15" t="n"/>
      <c r="B81" s="16" t="n"/>
      <c r="C81" s="15" t="n"/>
      <c r="D81" s="17">
        <f>IF(C81="","",IFERROR(INDEX('Database Buyer'!$B$3:$B$247,MATCH(C81,'Database Buyer'!$A$3:$A$247,0)),"ID tidak ditemukan"))</f>
        <v/>
      </c>
      <c r="E81" s="17">
        <f>IF(C81="","",IFERROR(INDEX('Database Buyer'!$D$3:$D$247,MATCH(C81,'Database Buyer'!$A$3:$A$247,0)),""))</f>
        <v/>
      </c>
      <c r="F81" s="15" t="n"/>
      <c r="G81" s="15" t="n"/>
      <c r="H81" s="15" t="n"/>
      <c r="I81" s="18" t="n"/>
      <c r="J81" s="19" t="n"/>
      <c r="K81" s="20">
        <f>IF(OR(I81="",J81=""),"",I81*J81)</f>
        <v/>
      </c>
      <c r="L81" s="21">
        <f>IF(K81="","",K81*Panduan!$C$22)</f>
        <v/>
      </c>
      <c r="M81" s="16" t="n"/>
      <c r="N81" s="15" t="n"/>
      <c r="O81" s="15" t="n"/>
    </row>
    <row r="82">
      <c r="A82" s="15" t="n"/>
      <c r="B82" s="16" t="n"/>
      <c r="C82" s="15" t="n"/>
      <c r="D82" s="17">
        <f>IF(C82="","",IFERROR(INDEX('Database Buyer'!$B$3:$B$247,MATCH(C82,'Database Buyer'!$A$3:$A$247,0)),"ID tidak ditemukan"))</f>
        <v/>
      </c>
      <c r="E82" s="17">
        <f>IF(C82="","",IFERROR(INDEX('Database Buyer'!$D$3:$D$247,MATCH(C82,'Database Buyer'!$A$3:$A$247,0)),""))</f>
        <v/>
      </c>
      <c r="F82" s="15" t="n"/>
      <c r="G82" s="15" t="n"/>
      <c r="H82" s="15" t="n"/>
      <c r="I82" s="18" t="n"/>
      <c r="J82" s="19" t="n"/>
      <c r="K82" s="20">
        <f>IF(OR(I82="",J82=""),"",I82*J82)</f>
        <v/>
      </c>
      <c r="L82" s="21">
        <f>IF(K82="","",K82*Panduan!$C$22)</f>
        <v/>
      </c>
      <c r="M82" s="16" t="n"/>
      <c r="N82" s="15" t="n"/>
      <c r="O82" s="15" t="n"/>
    </row>
    <row r="83">
      <c r="A83" s="15" t="n"/>
      <c r="B83" s="16" t="n"/>
      <c r="C83" s="15" t="n"/>
      <c r="D83" s="17">
        <f>IF(C83="","",IFERROR(INDEX('Database Buyer'!$B$3:$B$247,MATCH(C83,'Database Buyer'!$A$3:$A$247,0)),"ID tidak ditemukan"))</f>
        <v/>
      </c>
      <c r="E83" s="17">
        <f>IF(C83="","",IFERROR(INDEX('Database Buyer'!$D$3:$D$247,MATCH(C83,'Database Buyer'!$A$3:$A$247,0)),""))</f>
        <v/>
      </c>
      <c r="F83" s="15" t="n"/>
      <c r="G83" s="15" t="n"/>
      <c r="H83" s="15" t="n"/>
      <c r="I83" s="18" t="n"/>
      <c r="J83" s="19" t="n"/>
      <c r="K83" s="20">
        <f>IF(OR(I83="",J83=""),"",I83*J83)</f>
        <v/>
      </c>
      <c r="L83" s="21">
        <f>IF(K83="","",K83*Panduan!$C$22)</f>
        <v/>
      </c>
      <c r="M83" s="16" t="n"/>
      <c r="N83" s="15" t="n"/>
      <c r="O83" s="15" t="n"/>
    </row>
    <row r="84">
      <c r="A84" s="15" t="n"/>
      <c r="B84" s="16" t="n"/>
      <c r="C84" s="15" t="n"/>
      <c r="D84" s="17">
        <f>IF(C84="","",IFERROR(INDEX('Database Buyer'!$B$3:$B$247,MATCH(C84,'Database Buyer'!$A$3:$A$247,0)),"ID tidak ditemukan"))</f>
        <v/>
      </c>
      <c r="E84" s="17">
        <f>IF(C84="","",IFERROR(INDEX('Database Buyer'!$D$3:$D$247,MATCH(C84,'Database Buyer'!$A$3:$A$247,0)),""))</f>
        <v/>
      </c>
      <c r="F84" s="15" t="n"/>
      <c r="G84" s="15" t="n"/>
      <c r="H84" s="15" t="n"/>
      <c r="I84" s="18" t="n"/>
      <c r="J84" s="19" t="n"/>
      <c r="K84" s="20">
        <f>IF(OR(I84="",J84=""),"",I84*J84)</f>
        <v/>
      </c>
      <c r="L84" s="21">
        <f>IF(K84="","",K84*Panduan!$C$22)</f>
        <v/>
      </c>
      <c r="M84" s="16" t="n"/>
      <c r="N84" s="15" t="n"/>
      <c r="O84" s="15" t="n"/>
    </row>
    <row r="85">
      <c r="A85" s="15" t="n"/>
      <c r="B85" s="16" t="n"/>
      <c r="C85" s="15" t="n"/>
      <c r="D85" s="17">
        <f>IF(C85="","",IFERROR(INDEX('Database Buyer'!$B$3:$B$247,MATCH(C85,'Database Buyer'!$A$3:$A$247,0)),"ID tidak ditemukan"))</f>
        <v/>
      </c>
      <c r="E85" s="17">
        <f>IF(C85="","",IFERROR(INDEX('Database Buyer'!$D$3:$D$247,MATCH(C85,'Database Buyer'!$A$3:$A$247,0)),""))</f>
        <v/>
      </c>
      <c r="F85" s="15" t="n"/>
      <c r="G85" s="15" t="n"/>
      <c r="H85" s="15" t="n"/>
      <c r="I85" s="18" t="n"/>
      <c r="J85" s="19" t="n"/>
      <c r="K85" s="20">
        <f>IF(OR(I85="",J85=""),"",I85*J85)</f>
        <v/>
      </c>
      <c r="L85" s="21">
        <f>IF(K85="","",K85*Panduan!$C$22)</f>
        <v/>
      </c>
      <c r="M85" s="16" t="n"/>
      <c r="N85" s="15" t="n"/>
      <c r="O85" s="15" t="n"/>
    </row>
    <row r="86">
      <c r="A86" s="15" t="n"/>
      <c r="B86" s="16" t="n"/>
      <c r="C86" s="15" t="n"/>
      <c r="D86" s="17">
        <f>IF(C86="","",IFERROR(INDEX('Database Buyer'!$B$3:$B$247,MATCH(C86,'Database Buyer'!$A$3:$A$247,0)),"ID tidak ditemukan"))</f>
        <v/>
      </c>
      <c r="E86" s="17">
        <f>IF(C86="","",IFERROR(INDEX('Database Buyer'!$D$3:$D$247,MATCH(C86,'Database Buyer'!$A$3:$A$247,0)),""))</f>
        <v/>
      </c>
      <c r="F86" s="15" t="n"/>
      <c r="G86" s="15" t="n"/>
      <c r="H86" s="15" t="n"/>
      <c r="I86" s="18" t="n"/>
      <c r="J86" s="19" t="n"/>
      <c r="K86" s="20">
        <f>IF(OR(I86="",J86=""),"",I86*J86)</f>
        <v/>
      </c>
      <c r="L86" s="21">
        <f>IF(K86="","",K86*Panduan!$C$22)</f>
        <v/>
      </c>
      <c r="M86" s="16" t="n"/>
      <c r="N86" s="15" t="n"/>
      <c r="O86" s="15" t="n"/>
    </row>
    <row r="87">
      <c r="A87" s="15" t="n"/>
      <c r="B87" s="16" t="n"/>
      <c r="C87" s="15" t="n"/>
      <c r="D87" s="17">
        <f>IF(C87="","",IFERROR(INDEX('Database Buyer'!$B$3:$B$247,MATCH(C87,'Database Buyer'!$A$3:$A$247,0)),"ID tidak ditemukan"))</f>
        <v/>
      </c>
      <c r="E87" s="17">
        <f>IF(C87="","",IFERROR(INDEX('Database Buyer'!$D$3:$D$247,MATCH(C87,'Database Buyer'!$A$3:$A$247,0)),""))</f>
        <v/>
      </c>
      <c r="F87" s="15" t="n"/>
      <c r="G87" s="15" t="n"/>
      <c r="H87" s="15" t="n"/>
      <c r="I87" s="18" t="n"/>
      <c r="J87" s="19" t="n"/>
      <c r="K87" s="20">
        <f>IF(OR(I87="",J87=""),"",I87*J87)</f>
        <v/>
      </c>
      <c r="L87" s="21">
        <f>IF(K87="","",K87*Panduan!$C$22)</f>
        <v/>
      </c>
      <c r="M87" s="16" t="n"/>
      <c r="N87" s="15" t="n"/>
      <c r="O87" s="15" t="n"/>
    </row>
    <row r="88">
      <c r="A88" s="15" t="n"/>
      <c r="B88" s="16" t="n"/>
      <c r="C88" s="15" t="n"/>
      <c r="D88" s="17">
        <f>IF(C88="","",IFERROR(INDEX('Database Buyer'!$B$3:$B$247,MATCH(C88,'Database Buyer'!$A$3:$A$247,0)),"ID tidak ditemukan"))</f>
        <v/>
      </c>
      <c r="E88" s="17">
        <f>IF(C88="","",IFERROR(INDEX('Database Buyer'!$D$3:$D$247,MATCH(C88,'Database Buyer'!$A$3:$A$247,0)),""))</f>
        <v/>
      </c>
      <c r="F88" s="15" t="n"/>
      <c r="G88" s="15" t="n"/>
      <c r="H88" s="15" t="n"/>
      <c r="I88" s="18" t="n"/>
      <c r="J88" s="19" t="n"/>
      <c r="K88" s="20">
        <f>IF(OR(I88="",J88=""),"",I88*J88)</f>
        <v/>
      </c>
      <c r="L88" s="21">
        <f>IF(K88="","",K88*Panduan!$C$22)</f>
        <v/>
      </c>
      <c r="M88" s="16" t="n"/>
      <c r="N88" s="15" t="n"/>
      <c r="O88" s="15" t="n"/>
    </row>
    <row r="89">
      <c r="A89" s="15" t="n"/>
      <c r="B89" s="16" t="n"/>
      <c r="C89" s="15" t="n"/>
      <c r="D89" s="17">
        <f>IF(C89="","",IFERROR(INDEX('Database Buyer'!$B$3:$B$247,MATCH(C89,'Database Buyer'!$A$3:$A$247,0)),"ID tidak ditemukan"))</f>
        <v/>
      </c>
      <c r="E89" s="17">
        <f>IF(C89="","",IFERROR(INDEX('Database Buyer'!$D$3:$D$247,MATCH(C89,'Database Buyer'!$A$3:$A$247,0)),""))</f>
        <v/>
      </c>
      <c r="F89" s="15" t="n"/>
      <c r="G89" s="15" t="n"/>
      <c r="H89" s="15" t="n"/>
      <c r="I89" s="18" t="n"/>
      <c r="J89" s="19" t="n"/>
      <c r="K89" s="20">
        <f>IF(OR(I89="",J89=""),"",I89*J89)</f>
        <v/>
      </c>
      <c r="L89" s="21">
        <f>IF(K89="","",K89*Panduan!$C$22)</f>
        <v/>
      </c>
      <c r="M89" s="16" t="n"/>
      <c r="N89" s="15" t="n"/>
      <c r="O89" s="15" t="n"/>
    </row>
    <row r="90">
      <c r="A90" s="15" t="n"/>
      <c r="B90" s="16" t="n"/>
      <c r="C90" s="15" t="n"/>
      <c r="D90" s="17">
        <f>IF(C90="","",IFERROR(INDEX('Database Buyer'!$B$3:$B$247,MATCH(C90,'Database Buyer'!$A$3:$A$247,0)),"ID tidak ditemukan"))</f>
        <v/>
      </c>
      <c r="E90" s="17">
        <f>IF(C90="","",IFERROR(INDEX('Database Buyer'!$D$3:$D$247,MATCH(C90,'Database Buyer'!$A$3:$A$247,0)),""))</f>
        <v/>
      </c>
      <c r="F90" s="15" t="n"/>
      <c r="G90" s="15" t="n"/>
      <c r="H90" s="15" t="n"/>
      <c r="I90" s="18" t="n"/>
      <c r="J90" s="19" t="n"/>
      <c r="K90" s="20">
        <f>IF(OR(I90="",J90=""),"",I90*J90)</f>
        <v/>
      </c>
      <c r="L90" s="21">
        <f>IF(K90="","",K90*Panduan!$C$22)</f>
        <v/>
      </c>
      <c r="M90" s="16" t="n"/>
      <c r="N90" s="15" t="n"/>
      <c r="O90" s="15" t="n"/>
    </row>
    <row r="91">
      <c r="A91" s="15" t="n"/>
      <c r="B91" s="16" t="n"/>
      <c r="C91" s="15" t="n"/>
      <c r="D91" s="17">
        <f>IF(C91="","",IFERROR(INDEX('Database Buyer'!$B$3:$B$247,MATCH(C91,'Database Buyer'!$A$3:$A$247,0)),"ID tidak ditemukan"))</f>
        <v/>
      </c>
      <c r="E91" s="17">
        <f>IF(C91="","",IFERROR(INDEX('Database Buyer'!$D$3:$D$247,MATCH(C91,'Database Buyer'!$A$3:$A$247,0)),""))</f>
        <v/>
      </c>
      <c r="F91" s="15" t="n"/>
      <c r="G91" s="15" t="n"/>
      <c r="H91" s="15" t="n"/>
      <c r="I91" s="18" t="n"/>
      <c r="J91" s="19" t="n"/>
      <c r="K91" s="20">
        <f>IF(OR(I91="",J91=""),"",I91*J91)</f>
        <v/>
      </c>
      <c r="L91" s="21">
        <f>IF(K91="","",K91*Panduan!$C$22)</f>
        <v/>
      </c>
      <c r="M91" s="16" t="n"/>
      <c r="N91" s="15" t="n"/>
      <c r="O91" s="15" t="n"/>
    </row>
    <row r="92">
      <c r="A92" s="15" t="n"/>
      <c r="B92" s="16" t="n"/>
      <c r="C92" s="15" t="n"/>
      <c r="D92" s="17">
        <f>IF(C92="","",IFERROR(INDEX('Database Buyer'!$B$3:$B$247,MATCH(C92,'Database Buyer'!$A$3:$A$247,0)),"ID tidak ditemukan"))</f>
        <v/>
      </c>
      <c r="E92" s="17">
        <f>IF(C92="","",IFERROR(INDEX('Database Buyer'!$D$3:$D$247,MATCH(C92,'Database Buyer'!$A$3:$A$247,0)),""))</f>
        <v/>
      </c>
      <c r="F92" s="15" t="n"/>
      <c r="G92" s="15" t="n"/>
      <c r="H92" s="15" t="n"/>
      <c r="I92" s="18" t="n"/>
      <c r="J92" s="19" t="n"/>
      <c r="K92" s="20">
        <f>IF(OR(I92="",J92=""),"",I92*J92)</f>
        <v/>
      </c>
      <c r="L92" s="21">
        <f>IF(K92="","",K92*Panduan!$C$22)</f>
        <v/>
      </c>
      <c r="M92" s="16" t="n"/>
      <c r="N92" s="15" t="n"/>
      <c r="O92" s="15" t="n"/>
    </row>
    <row r="93">
      <c r="A93" s="15" t="n"/>
      <c r="B93" s="16" t="n"/>
      <c r="C93" s="15" t="n"/>
      <c r="D93" s="17">
        <f>IF(C93="","",IFERROR(INDEX('Database Buyer'!$B$3:$B$247,MATCH(C93,'Database Buyer'!$A$3:$A$247,0)),"ID tidak ditemukan"))</f>
        <v/>
      </c>
      <c r="E93" s="17">
        <f>IF(C93="","",IFERROR(INDEX('Database Buyer'!$D$3:$D$247,MATCH(C93,'Database Buyer'!$A$3:$A$247,0)),""))</f>
        <v/>
      </c>
      <c r="F93" s="15" t="n"/>
      <c r="G93" s="15" t="n"/>
      <c r="H93" s="15" t="n"/>
      <c r="I93" s="18" t="n"/>
      <c r="J93" s="19" t="n"/>
      <c r="K93" s="20">
        <f>IF(OR(I93="",J93=""),"",I93*J93)</f>
        <v/>
      </c>
      <c r="L93" s="21">
        <f>IF(K93="","",K93*Panduan!$C$22)</f>
        <v/>
      </c>
      <c r="M93" s="16" t="n"/>
      <c r="N93" s="15" t="n"/>
      <c r="O93" s="15" t="n"/>
    </row>
    <row r="94">
      <c r="A94" s="15" t="n"/>
      <c r="B94" s="16" t="n"/>
      <c r="C94" s="15" t="n"/>
      <c r="D94" s="17">
        <f>IF(C94="","",IFERROR(INDEX('Database Buyer'!$B$3:$B$247,MATCH(C94,'Database Buyer'!$A$3:$A$247,0)),"ID tidak ditemukan"))</f>
        <v/>
      </c>
      <c r="E94" s="17">
        <f>IF(C94="","",IFERROR(INDEX('Database Buyer'!$D$3:$D$247,MATCH(C94,'Database Buyer'!$A$3:$A$247,0)),""))</f>
        <v/>
      </c>
      <c r="F94" s="15" t="n"/>
      <c r="G94" s="15" t="n"/>
      <c r="H94" s="15" t="n"/>
      <c r="I94" s="18" t="n"/>
      <c r="J94" s="19" t="n"/>
      <c r="K94" s="20">
        <f>IF(OR(I94="",J94=""),"",I94*J94)</f>
        <v/>
      </c>
      <c r="L94" s="21">
        <f>IF(K94="","",K94*Panduan!$C$22)</f>
        <v/>
      </c>
      <c r="M94" s="16" t="n"/>
      <c r="N94" s="15" t="n"/>
      <c r="O94" s="15" t="n"/>
    </row>
    <row r="95">
      <c r="A95" s="15" t="n"/>
      <c r="B95" s="16" t="n"/>
      <c r="C95" s="15" t="n"/>
      <c r="D95" s="17">
        <f>IF(C95="","",IFERROR(INDEX('Database Buyer'!$B$3:$B$247,MATCH(C95,'Database Buyer'!$A$3:$A$247,0)),"ID tidak ditemukan"))</f>
        <v/>
      </c>
      <c r="E95" s="17">
        <f>IF(C95="","",IFERROR(INDEX('Database Buyer'!$D$3:$D$247,MATCH(C95,'Database Buyer'!$A$3:$A$247,0)),""))</f>
        <v/>
      </c>
      <c r="F95" s="15" t="n"/>
      <c r="G95" s="15" t="n"/>
      <c r="H95" s="15" t="n"/>
      <c r="I95" s="18" t="n"/>
      <c r="J95" s="19" t="n"/>
      <c r="K95" s="20">
        <f>IF(OR(I95="",J95=""),"",I95*J95)</f>
        <v/>
      </c>
      <c r="L95" s="21">
        <f>IF(K95="","",K95*Panduan!$C$22)</f>
        <v/>
      </c>
      <c r="M95" s="16" t="n"/>
      <c r="N95" s="15" t="n"/>
      <c r="O95" s="15" t="n"/>
    </row>
    <row r="96">
      <c r="A96" s="15" t="n"/>
      <c r="B96" s="16" t="n"/>
      <c r="C96" s="15" t="n"/>
      <c r="D96" s="17">
        <f>IF(C96="","",IFERROR(INDEX('Database Buyer'!$B$3:$B$247,MATCH(C96,'Database Buyer'!$A$3:$A$247,0)),"ID tidak ditemukan"))</f>
        <v/>
      </c>
      <c r="E96" s="17">
        <f>IF(C96="","",IFERROR(INDEX('Database Buyer'!$D$3:$D$247,MATCH(C96,'Database Buyer'!$A$3:$A$247,0)),""))</f>
        <v/>
      </c>
      <c r="F96" s="15" t="n"/>
      <c r="G96" s="15" t="n"/>
      <c r="H96" s="15" t="n"/>
      <c r="I96" s="18" t="n"/>
      <c r="J96" s="19" t="n"/>
      <c r="K96" s="20">
        <f>IF(OR(I96="",J96=""),"",I96*J96)</f>
        <v/>
      </c>
      <c r="L96" s="21">
        <f>IF(K96="","",K96*Panduan!$C$22)</f>
        <v/>
      </c>
      <c r="M96" s="16" t="n"/>
      <c r="N96" s="15" t="n"/>
      <c r="O96" s="15" t="n"/>
    </row>
    <row r="97">
      <c r="A97" s="15" t="n"/>
      <c r="B97" s="16" t="n"/>
      <c r="C97" s="15" t="n"/>
      <c r="D97" s="17">
        <f>IF(C97="","",IFERROR(INDEX('Database Buyer'!$B$3:$B$247,MATCH(C97,'Database Buyer'!$A$3:$A$247,0)),"ID tidak ditemukan"))</f>
        <v/>
      </c>
      <c r="E97" s="17">
        <f>IF(C97="","",IFERROR(INDEX('Database Buyer'!$D$3:$D$247,MATCH(C97,'Database Buyer'!$A$3:$A$247,0)),""))</f>
        <v/>
      </c>
      <c r="F97" s="15" t="n"/>
      <c r="G97" s="15" t="n"/>
      <c r="H97" s="15" t="n"/>
      <c r="I97" s="18" t="n"/>
      <c r="J97" s="19" t="n"/>
      <c r="K97" s="20">
        <f>IF(OR(I97="",J97=""),"",I97*J97)</f>
        <v/>
      </c>
      <c r="L97" s="21">
        <f>IF(K97="","",K97*Panduan!$C$22)</f>
        <v/>
      </c>
      <c r="M97" s="16" t="n"/>
      <c r="N97" s="15" t="n"/>
      <c r="O97" s="15" t="n"/>
    </row>
    <row r="98">
      <c r="A98" s="15" t="n"/>
      <c r="B98" s="16" t="n"/>
      <c r="C98" s="15" t="n"/>
      <c r="D98" s="17">
        <f>IF(C98="","",IFERROR(INDEX('Database Buyer'!$B$3:$B$247,MATCH(C98,'Database Buyer'!$A$3:$A$247,0)),"ID tidak ditemukan"))</f>
        <v/>
      </c>
      <c r="E98" s="17">
        <f>IF(C98="","",IFERROR(INDEX('Database Buyer'!$D$3:$D$247,MATCH(C98,'Database Buyer'!$A$3:$A$247,0)),""))</f>
        <v/>
      </c>
      <c r="F98" s="15" t="n"/>
      <c r="G98" s="15" t="n"/>
      <c r="H98" s="15" t="n"/>
      <c r="I98" s="18" t="n"/>
      <c r="J98" s="19" t="n"/>
      <c r="K98" s="20">
        <f>IF(OR(I98="",J98=""),"",I98*J98)</f>
        <v/>
      </c>
      <c r="L98" s="21">
        <f>IF(K98="","",K98*Panduan!$C$22)</f>
        <v/>
      </c>
      <c r="M98" s="16" t="n"/>
      <c r="N98" s="15" t="n"/>
      <c r="O98" s="15" t="n"/>
    </row>
    <row r="99">
      <c r="A99" s="15" t="n"/>
      <c r="B99" s="16" t="n"/>
      <c r="C99" s="15" t="n"/>
      <c r="D99" s="17">
        <f>IF(C99="","",IFERROR(INDEX('Database Buyer'!$B$3:$B$247,MATCH(C99,'Database Buyer'!$A$3:$A$247,0)),"ID tidak ditemukan"))</f>
        <v/>
      </c>
      <c r="E99" s="17">
        <f>IF(C99="","",IFERROR(INDEX('Database Buyer'!$D$3:$D$247,MATCH(C99,'Database Buyer'!$A$3:$A$247,0)),""))</f>
        <v/>
      </c>
      <c r="F99" s="15" t="n"/>
      <c r="G99" s="15" t="n"/>
      <c r="H99" s="15" t="n"/>
      <c r="I99" s="18" t="n"/>
      <c r="J99" s="19" t="n"/>
      <c r="K99" s="20">
        <f>IF(OR(I99="",J99=""),"",I99*J99)</f>
        <v/>
      </c>
      <c r="L99" s="21">
        <f>IF(K99="","",K99*Panduan!$C$22)</f>
        <v/>
      </c>
      <c r="M99" s="16" t="n"/>
      <c r="N99" s="15" t="n"/>
      <c r="O99" s="15" t="n"/>
    </row>
    <row r="100">
      <c r="A100" s="15" t="n"/>
      <c r="B100" s="16" t="n"/>
      <c r="C100" s="15" t="n"/>
      <c r="D100" s="17">
        <f>IF(C100="","",IFERROR(INDEX('Database Buyer'!$B$3:$B$247,MATCH(C100,'Database Buyer'!$A$3:$A$247,0)),"ID tidak ditemukan"))</f>
        <v/>
      </c>
      <c r="E100" s="17">
        <f>IF(C100="","",IFERROR(INDEX('Database Buyer'!$D$3:$D$247,MATCH(C100,'Database Buyer'!$A$3:$A$247,0)),""))</f>
        <v/>
      </c>
      <c r="F100" s="15" t="n"/>
      <c r="G100" s="15" t="n"/>
      <c r="H100" s="15" t="n"/>
      <c r="I100" s="18" t="n"/>
      <c r="J100" s="19" t="n"/>
      <c r="K100" s="20">
        <f>IF(OR(I100="",J100=""),"",I100*J100)</f>
        <v/>
      </c>
      <c r="L100" s="21">
        <f>IF(K100="","",K100*Panduan!$C$22)</f>
        <v/>
      </c>
      <c r="M100" s="16" t="n"/>
      <c r="N100" s="15" t="n"/>
      <c r="O100" s="15" t="n"/>
    </row>
    <row r="101">
      <c r="A101" s="15" t="n"/>
      <c r="B101" s="16" t="n"/>
      <c r="C101" s="15" t="n"/>
      <c r="D101" s="17">
        <f>IF(C101="","",IFERROR(INDEX('Database Buyer'!$B$3:$B$247,MATCH(C101,'Database Buyer'!$A$3:$A$247,0)),"ID tidak ditemukan"))</f>
        <v/>
      </c>
      <c r="E101" s="17">
        <f>IF(C101="","",IFERROR(INDEX('Database Buyer'!$D$3:$D$247,MATCH(C101,'Database Buyer'!$A$3:$A$247,0)),""))</f>
        <v/>
      </c>
      <c r="F101" s="15" t="n"/>
      <c r="G101" s="15" t="n"/>
      <c r="H101" s="15" t="n"/>
      <c r="I101" s="18" t="n"/>
      <c r="J101" s="19" t="n"/>
      <c r="K101" s="20">
        <f>IF(OR(I101="",J101=""),"",I101*J101)</f>
        <v/>
      </c>
      <c r="L101" s="21">
        <f>IF(K101="","",K101*Panduan!$C$22)</f>
        <v/>
      </c>
      <c r="M101" s="16" t="n"/>
      <c r="N101" s="15" t="n"/>
      <c r="O101" s="15" t="n"/>
    </row>
    <row r="102">
      <c r="A102" s="15" t="n"/>
      <c r="B102" s="16" t="n"/>
      <c r="C102" s="15" t="n"/>
      <c r="D102" s="17">
        <f>IF(C102="","",IFERROR(INDEX('Database Buyer'!$B$3:$B$247,MATCH(C102,'Database Buyer'!$A$3:$A$247,0)),"ID tidak ditemukan"))</f>
        <v/>
      </c>
      <c r="E102" s="17">
        <f>IF(C102="","",IFERROR(INDEX('Database Buyer'!$D$3:$D$247,MATCH(C102,'Database Buyer'!$A$3:$A$247,0)),""))</f>
        <v/>
      </c>
      <c r="F102" s="15" t="n"/>
      <c r="G102" s="15" t="n"/>
      <c r="H102" s="15" t="n"/>
      <c r="I102" s="18" t="n"/>
      <c r="J102" s="19" t="n"/>
      <c r="K102" s="20">
        <f>IF(OR(I102="",J102=""),"",I102*J102)</f>
        <v/>
      </c>
      <c r="L102" s="21">
        <f>IF(K102="","",K102*Panduan!$C$22)</f>
        <v/>
      </c>
      <c r="M102" s="16" t="n"/>
      <c r="N102" s="15" t="n"/>
      <c r="O102" s="15" t="n"/>
    </row>
    <row r="103">
      <c r="A103" s="15" t="n"/>
      <c r="B103" s="16" t="n"/>
      <c r="C103" s="15" t="n"/>
      <c r="D103" s="17">
        <f>IF(C103="","",IFERROR(INDEX('Database Buyer'!$B$3:$B$247,MATCH(C103,'Database Buyer'!$A$3:$A$247,0)),"ID tidak ditemukan"))</f>
        <v/>
      </c>
      <c r="E103" s="17">
        <f>IF(C103="","",IFERROR(INDEX('Database Buyer'!$D$3:$D$247,MATCH(C103,'Database Buyer'!$A$3:$A$247,0)),""))</f>
        <v/>
      </c>
      <c r="F103" s="15" t="n"/>
      <c r="G103" s="15" t="n"/>
      <c r="H103" s="15" t="n"/>
      <c r="I103" s="18" t="n"/>
      <c r="J103" s="19" t="n"/>
      <c r="K103" s="20">
        <f>IF(OR(I103="",J103=""),"",I103*J103)</f>
        <v/>
      </c>
      <c r="L103" s="21">
        <f>IF(K103="","",K103*Panduan!$C$22)</f>
        <v/>
      </c>
      <c r="M103" s="16" t="n"/>
      <c r="N103" s="15" t="n"/>
      <c r="O103" s="15" t="n"/>
    </row>
    <row r="104">
      <c r="A104" s="15" t="n"/>
      <c r="B104" s="16" t="n"/>
      <c r="C104" s="15" t="n"/>
      <c r="D104" s="17">
        <f>IF(C104="","",IFERROR(INDEX('Database Buyer'!$B$3:$B$247,MATCH(C104,'Database Buyer'!$A$3:$A$247,0)),"ID tidak ditemukan"))</f>
        <v/>
      </c>
      <c r="E104" s="17">
        <f>IF(C104="","",IFERROR(INDEX('Database Buyer'!$D$3:$D$247,MATCH(C104,'Database Buyer'!$A$3:$A$247,0)),""))</f>
        <v/>
      </c>
      <c r="F104" s="15" t="n"/>
      <c r="G104" s="15" t="n"/>
      <c r="H104" s="15" t="n"/>
      <c r="I104" s="18" t="n"/>
      <c r="J104" s="19" t="n"/>
      <c r="K104" s="20">
        <f>IF(OR(I104="",J104=""),"",I104*J104)</f>
        <v/>
      </c>
      <c r="L104" s="21">
        <f>IF(K104="","",K104*Panduan!$C$22)</f>
        <v/>
      </c>
      <c r="M104" s="16" t="n"/>
      <c r="N104" s="15" t="n"/>
      <c r="O104" s="15" t="n"/>
    </row>
    <row r="105">
      <c r="A105" s="15" t="n"/>
      <c r="B105" s="16" t="n"/>
      <c r="C105" s="15" t="n"/>
      <c r="D105" s="17">
        <f>IF(C105="","",IFERROR(INDEX('Database Buyer'!$B$3:$B$247,MATCH(C105,'Database Buyer'!$A$3:$A$247,0)),"ID tidak ditemukan"))</f>
        <v/>
      </c>
      <c r="E105" s="17">
        <f>IF(C105="","",IFERROR(INDEX('Database Buyer'!$D$3:$D$247,MATCH(C105,'Database Buyer'!$A$3:$A$247,0)),""))</f>
        <v/>
      </c>
      <c r="F105" s="15" t="n"/>
      <c r="G105" s="15" t="n"/>
      <c r="H105" s="15" t="n"/>
      <c r="I105" s="18" t="n"/>
      <c r="J105" s="19" t="n"/>
      <c r="K105" s="20">
        <f>IF(OR(I105="",J105=""),"",I105*J105)</f>
        <v/>
      </c>
      <c r="L105" s="21">
        <f>IF(K105="","",K105*Panduan!$C$22)</f>
        <v/>
      </c>
      <c r="M105" s="16" t="n"/>
      <c r="N105" s="15" t="n"/>
      <c r="O105" s="15" t="n"/>
    </row>
    <row r="106">
      <c r="A106" s="15" t="n"/>
      <c r="B106" s="16" t="n"/>
      <c r="C106" s="15" t="n"/>
      <c r="D106" s="17">
        <f>IF(C106="","",IFERROR(INDEX('Database Buyer'!$B$3:$B$247,MATCH(C106,'Database Buyer'!$A$3:$A$247,0)),"ID tidak ditemukan"))</f>
        <v/>
      </c>
      <c r="E106" s="17">
        <f>IF(C106="","",IFERROR(INDEX('Database Buyer'!$D$3:$D$247,MATCH(C106,'Database Buyer'!$A$3:$A$247,0)),""))</f>
        <v/>
      </c>
      <c r="F106" s="15" t="n"/>
      <c r="G106" s="15" t="n"/>
      <c r="H106" s="15" t="n"/>
      <c r="I106" s="18" t="n"/>
      <c r="J106" s="19" t="n"/>
      <c r="K106" s="20">
        <f>IF(OR(I106="",J106=""),"",I106*J106)</f>
        <v/>
      </c>
      <c r="L106" s="21">
        <f>IF(K106="","",K106*Panduan!$C$22)</f>
        <v/>
      </c>
      <c r="M106" s="16" t="n"/>
      <c r="N106" s="15" t="n"/>
      <c r="O106" s="15" t="n"/>
    </row>
    <row r="107">
      <c r="A107" s="15" t="n"/>
      <c r="B107" s="16" t="n"/>
      <c r="C107" s="15" t="n"/>
      <c r="D107" s="17">
        <f>IF(C107="","",IFERROR(INDEX('Database Buyer'!$B$3:$B$247,MATCH(C107,'Database Buyer'!$A$3:$A$247,0)),"ID tidak ditemukan"))</f>
        <v/>
      </c>
      <c r="E107" s="17">
        <f>IF(C107="","",IFERROR(INDEX('Database Buyer'!$D$3:$D$247,MATCH(C107,'Database Buyer'!$A$3:$A$247,0)),""))</f>
        <v/>
      </c>
      <c r="F107" s="15" t="n"/>
      <c r="G107" s="15" t="n"/>
      <c r="H107" s="15" t="n"/>
      <c r="I107" s="18" t="n"/>
      <c r="J107" s="19" t="n"/>
      <c r="K107" s="20">
        <f>IF(OR(I107="",J107=""),"",I107*J107)</f>
        <v/>
      </c>
      <c r="L107" s="21">
        <f>IF(K107="","",K107*Panduan!$C$22)</f>
        <v/>
      </c>
      <c r="M107" s="16" t="n"/>
      <c r="N107" s="15" t="n"/>
      <c r="O107" s="15" t="n"/>
    </row>
    <row r="108">
      <c r="A108" s="15" t="n"/>
      <c r="B108" s="16" t="n"/>
      <c r="C108" s="15" t="n"/>
      <c r="D108" s="17">
        <f>IF(C108="","",IFERROR(INDEX('Database Buyer'!$B$3:$B$247,MATCH(C108,'Database Buyer'!$A$3:$A$247,0)),"ID tidak ditemukan"))</f>
        <v/>
      </c>
      <c r="E108" s="17">
        <f>IF(C108="","",IFERROR(INDEX('Database Buyer'!$D$3:$D$247,MATCH(C108,'Database Buyer'!$A$3:$A$247,0)),""))</f>
        <v/>
      </c>
      <c r="F108" s="15" t="n"/>
      <c r="G108" s="15" t="n"/>
      <c r="H108" s="15" t="n"/>
      <c r="I108" s="18" t="n"/>
      <c r="J108" s="19" t="n"/>
      <c r="K108" s="20">
        <f>IF(OR(I108="",J108=""),"",I108*J108)</f>
        <v/>
      </c>
      <c r="L108" s="21">
        <f>IF(K108="","",K108*Panduan!$C$22)</f>
        <v/>
      </c>
      <c r="M108" s="16" t="n"/>
      <c r="N108" s="15" t="n"/>
      <c r="O108" s="15" t="n"/>
    </row>
    <row r="109">
      <c r="A109" s="15" t="n"/>
      <c r="B109" s="16" t="n"/>
      <c r="C109" s="15" t="n"/>
      <c r="D109" s="17">
        <f>IF(C109="","",IFERROR(INDEX('Database Buyer'!$B$3:$B$247,MATCH(C109,'Database Buyer'!$A$3:$A$247,0)),"ID tidak ditemukan"))</f>
        <v/>
      </c>
      <c r="E109" s="17">
        <f>IF(C109="","",IFERROR(INDEX('Database Buyer'!$D$3:$D$247,MATCH(C109,'Database Buyer'!$A$3:$A$247,0)),""))</f>
        <v/>
      </c>
      <c r="F109" s="15" t="n"/>
      <c r="G109" s="15" t="n"/>
      <c r="H109" s="15" t="n"/>
      <c r="I109" s="18" t="n"/>
      <c r="J109" s="19" t="n"/>
      <c r="K109" s="20">
        <f>IF(OR(I109="",J109=""),"",I109*J109)</f>
        <v/>
      </c>
      <c r="L109" s="21">
        <f>IF(K109="","",K109*Panduan!$C$22)</f>
        <v/>
      </c>
      <c r="M109" s="16" t="n"/>
      <c r="N109" s="15" t="n"/>
      <c r="O109" s="15" t="n"/>
    </row>
    <row r="110">
      <c r="A110" s="15" t="n"/>
      <c r="B110" s="16" t="n"/>
      <c r="C110" s="15" t="n"/>
      <c r="D110" s="17">
        <f>IF(C110="","",IFERROR(INDEX('Database Buyer'!$B$3:$B$247,MATCH(C110,'Database Buyer'!$A$3:$A$247,0)),"ID tidak ditemukan"))</f>
        <v/>
      </c>
      <c r="E110" s="17">
        <f>IF(C110="","",IFERROR(INDEX('Database Buyer'!$D$3:$D$247,MATCH(C110,'Database Buyer'!$A$3:$A$247,0)),""))</f>
        <v/>
      </c>
      <c r="F110" s="15" t="n"/>
      <c r="G110" s="15" t="n"/>
      <c r="H110" s="15" t="n"/>
      <c r="I110" s="18" t="n"/>
      <c r="J110" s="19" t="n"/>
      <c r="K110" s="20">
        <f>IF(OR(I110="",J110=""),"",I110*J110)</f>
        <v/>
      </c>
      <c r="L110" s="21">
        <f>IF(K110="","",K110*Panduan!$C$22)</f>
        <v/>
      </c>
      <c r="M110" s="16" t="n"/>
      <c r="N110" s="15" t="n"/>
      <c r="O110" s="15" t="n"/>
    </row>
    <row r="111">
      <c r="A111" s="15" t="n"/>
      <c r="B111" s="16" t="n"/>
      <c r="C111" s="15" t="n"/>
      <c r="D111" s="17">
        <f>IF(C111="","",IFERROR(INDEX('Database Buyer'!$B$3:$B$247,MATCH(C111,'Database Buyer'!$A$3:$A$247,0)),"ID tidak ditemukan"))</f>
        <v/>
      </c>
      <c r="E111" s="17">
        <f>IF(C111="","",IFERROR(INDEX('Database Buyer'!$D$3:$D$247,MATCH(C111,'Database Buyer'!$A$3:$A$247,0)),""))</f>
        <v/>
      </c>
      <c r="F111" s="15" t="n"/>
      <c r="G111" s="15" t="n"/>
      <c r="H111" s="15" t="n"/>
      <c r="I111" s="18" t="n"/>
      <c r="J111" s="19" t="n"/>
      <c r="K111" s="20">
        <f>IF(OR(I111="",J111=""),"",I111*J111)</f>
        <v/>
      </c>
      <c r="L111" s="21">
        <f>IF(K111="","",K111*Panduan!$C$22)</f>
        <v/>
      </c>
      <c r="M111" s="16" t="n"/>
      <c r="N111" s="15" t="n"/>
      <c r="O111" s="15" t="n"/>
    </row>
    <row r="112">
      <c r="A112" s="15" t="n"/>
      <c r="B112" s="16" t="n"/>
      <c r="C112" s="15" t="n"/>
      <c r="D112" s="17">
        <f>IF(C112="","",IFERROR(INDEX('Database Buyer'!$B$3:$B$247,MATCH(C112,'Database Buyer'!$A$3:$A$247,0)),"ID tidak ditemukan"))</f>
        <v/>
      </c>
      <c r="E112" s="17">
        <f>IF(C112="","",IFERROR(INDEX('Database Buyer'!$D$3:$D$247,MATCH(C112,'Database Buyer'!$A$3:$A$247,0)),""))</f>
        <v/>
      </c>
      <c r="F112" s="15" t="n"/>
      <c r="G112" s="15" t="n"/>
      <c r="H112" s="15" t="n"/>
      <c r="I112" s="18" t="n"/>
      <c r="J112" s="19" t="n"/>
      <c r="K112" s="20">
        <f>IF(OR(I112="",J112=""),"",I112*J112)</f>
        <v/>
      </c>
      <c r="L112" s="21">
        <f>IF(K112="","",K112*Panduan!$C$22)</f>
        <v/>
      </c>
      <c r="M112" s="16" t="n"/>
      <c r="N112" s="15" t="n"/>
      <c r="O112" s="15" t="n"/>
    </row>
    <row r="113">
      <c r="A113" s="15" t="n"/>
      <c r="B113" s="16" t="n"/>
      <c r="C113" s="15" t="n"/>
      <c r="D113" s="17">
        <f>IF(C113="","",IFERROR(INDEX('Database Buyer'!$B$3:$B$247,MATCH(C113,'Database Buyer'!$A$3:$A$247,0)),"ID tidak ditemukan"))</f>
        <v/>
      </c>
      <c r="E113" s="17">
        <f>IF(C113="","",IFERROR(INDEX('Database Buyer'!$D$3:$D$247,MATCH(C113,'Database Buyer'!$A$3:$A$247,0)),""))</f>
        <v/>
      </c>
      <c r="F113" s="15" t="n"/>
      <c r="G113" s="15" t="n"/>
      <c r="H113" s="15" t="n"/>
      <c r="I113" s="18" t="n"/>
      <c r="J113" s="19" t="n"/>
      <c r="K113" s="20">
        <f>IF(OR(I113="",J113=""),"",I113*J113)</f>
        <v/>
      </c>
      <c r="L113" s="21">
        <f>IF(K113="","",K113*Panduan!$C$22)</f>
        <v/>
      </c>
      <c r="M113" s="16" t="n"/>
      <c r="N113" s="15" t="n"/>
      <c r="O113" s="15" t="n"/>
    </row>
    <row r="114">
      <c r="A114" s="15" t="n"/>
      <c r="B114" s="16" t="n"/>
      <c r="C114" s="15" t="n"/>
      <c r="D114" s="17">
        <f>IF(C114="","",IFERROR(INDEX('Database Buyer'!$B$3:$B$247,MATCH(C114,'Database Buyer'!$A$3:$A$247,0)),"ID tidak ditemukan"))</f>
        <v/>
      </c>
      <c r="E114" s="17">
        <f>IF(C114="","",IFERROR(INDEX('Database Buyer'!$D$3:$D$247,MATCH(C114,'Database Buyer'!$A$3:$A$247,0)),""))</f>
        <v/>
      </c>
      <c r="F114" s="15" t="n"/>
      <c r="G114" s="15" t="n"/>
      <c r="H114" s="15" t="n"/>
      <c r="I114" s="18" t="n"/>
      <c r="J114" s="19" t="n"/>
      <c r="K114" s="20">
        <f>IF(OR(I114="",J114=""),"",I114*J114)</f>
        <v/>
      </c>
      <c r="L114" s="21">
        <f>IF(K114="","",K114*Panduan!$C$22)</f>
        <v/>
      </c>
      <c r="M114" s="16" t="n"/>
      <c r="N114" s="15" t="n"/>
      <c r="O114" s="15" t="n"/>
    </row>
    <row r="115">
      <c r="A115" s="15" t="n"/>
      <c r="B115" s="16" t="n"/>
      <c r="C115" s="15" t="n"/>
      <c r="D115" s="17">
        <f>IF(C115="","",IFERROR(INDEX('Database Buyer'!$B$3:$B$247,MATCH(C115,'Database Buyer'!$A$3:$A$247,0)),"ID tidak ditemukan"))</f>
        <v/>
      </c>
      <c r="E115" s="17">
        <f>IF(C115="","",IFERROR(INDEX('Database Buyer'!$D$3:$D$247,MATCH(C115,'Database Buyer'!$A$3:$A$247,0)),""))</f>
        <v/>
      </c>
      <c r="F115" s="15" t="n"/>
      <c r="G115" s="15" t="n"/>
      <c r="H115" s="15" t="n"/>
      <c r="I115" s="18" t="n"/>
      <c r="J115" s="19" t="n"/>
      <c r="K115" s="20">
        <f>IF(OR(I115="",J115=""),"",I115*J115)</f>
        <v/>
      </c>
      <c r="L115" s="21">
        <f>IF(K115="","",K115*Panduan!$C$22)</f>
        <v/>
      </c>
      <c r="M115" s="16" t="n"/>
      <c r="N115" s="15" t="n"/>
      <c r="O115" s="15" t="n"/>
    </row>
    <row r="116">
      <c r="A116" s="15" t="n"/>
      <c r="B116" s="16" t="n"/>
      <c r="C116" s="15" t="n"/>
      <c r="D116" s="17">
        <f>IF(C116="","",IFERROR(INDEX('Database Buyer'!$B$3:$B$247,MATCH(C116,'Database Buyer'!$A$3:$A$247,0)),"ID tidak ditemukan"))</f>
        <v/>
      </c>
      <c r="E116" s="17">
        <f>IF(C116="","",IFERROR(INDEX('Database Buyer'!$D$3:$D$247,MATCH(C116,'Database Buyer'!$A$3:$A$247,0)),""))</f>
        <v/>
      </c>
      <c r="F116" s="15" t="n"/>
      <c r="G116" s="15" t="n"/>
      <c r="H116" s="15" t="n"/>
      <c r="I116" s="18" t="n"/>
      <c r="J116" s="19" t="n"/>
      <c r="K116" s="20">
        <f>IF(OR(I116="",J116=""),"",I116*J116)</f>
        <v/>
      </c>
      <c r="L116" s="21">
        <f>IF(K116="","",K116*Panduan!$C$22)</f>
        <v/>
      </c>
      <c r="M116" s="16" t="n"/>
      <c r="N116" s="15" t="n"/>
      <c r="O116" s="15" t="n"/>
    </row>
    <row r="117">
      <c r="A117" s="15" t="n"/>
      <c r="B117" s="16" t="n"/>
      <c r="C117" s="15" t="n"/>
      <c r="D117" s="17">
        <f>IF(C117="","",IFERROR(INDEX('Database Buyer'!$B$3:$B$247,MATCH(C117,'Database Buyer'!$A$3:$A$247,0)),"ID tidak ditemukan"))</f>
        <v/>
      </c>
      <c r="E117" s="17">
        <f>IF(C117="","",IFERROR(INDEX('Database Buyer'!$D$3:$D$247,MATCH(C117,'Database Buyer'!$A$3:$A$247,0)),""))</f>
        <v/>
      </c>
      <c r="F117" s="15" t="n"/>
      <c r="G117" s="15" t="n"/>
      <c r="H117" s="15" t="n"/>
      <c r="I117" s="18" t="n"/>
      <c r="J117" s="19" t="n"/>
      <c r="K117" s="20">
        <f>IF(OR(I117="",J117=""),"",I117*J117)</f>
        <v/>
      </c>
      <c r="L117" s="21">
        <f>IF(K117="","",K117*Panduan!$C$22)</f>
        <v/>
      </c>
      <c r="M117" s="16" t="n"/>
      <c r="N117" s="15" t="n"/>
      <c r="O117" s="15" t="n"/>
    </row>
    <row r="118">
      <c r="A118" s="15" t="n"/>
      <c r="B118" s="16" t="n"/>
      <c r="C118" s="15" t="n"/>
      <c r="D118" s="17">
        <f>IF(C118="","",IFERROR(INDEX('Database Buyer'!$B$3:$B$247,MATCH(C118,'Database Buyer'!$A$3:$A$247,0)),"ID tidak ditemukan"))</f>
        <v/>
      </c>
      <c r="E118" s="17">
        <f>IF(C118="","",IFERROR(INDEX('Database Buyer'!$D$3:$D$247,MATCH(C118,'Database Buyer'!$A$3:$A$247,0)),""))</f>
        <v/>
      </c>
      <c r="F118" s="15" t="n"/>
      <c r="G118" s="15" t="n"/>
      <c r="H118" s="15" t="n"/>
      <c r="I118" s="18" t="n"/>
      <c r="J118" s="19" t="n"/>
      <c r="K118" s="20">
        <f>IF(OR(I118="",J118=""),"",I118*J118)</f>
        <v/>
      </c>
      <c r="L118" s="21">
        <f>IF(K118="","",K118*Panduan!$C$22)</f>
        <v/>
      </c>
      <c r="M118" s="16" t="n"/>
      <c r="N118" s="15" t="n"/>
      <c r="O118" s="15" t="n"/>
    </row>
    <row r="119">
      <c r="A119" s="15" t="n"/>
      <c r="B119" s="16" t="n"/>
      <c r="C119" s="15" t="n"/>
      <c r="D119" s="17">
        <f>IF(C119="","",IFERROR(INDEX('Database Buyer'!$B$3:$B$247,MATCH(C119,'Database Buyer'!$A$3:$A$247,0)),"ID tidak ditemukan"))</f>
        <v/>
      </c>
      <c r="E119" s="17">
        <f>IF(C119="","",IFERROR(INDEX('Database Buyer'!$D$3:$D$247,MATCH(C119,'Database Buyer'!$A$3:$A$247,0)),""))</f>
        <v/>
      </c>
      <c r="F119" s="15" t="n"/>
      <c r="G119" s="15" t="n"/>
      <c r="H119" s="15" t="n"/>
      <c r="I119" s="18" t="n"/>
      <c r="J119" s="19" t="n"/>
      <c r="K119" s="20">
        <f>IF(OR(I119="",J119=""),"",I119*J119)</f>
        <v/>
      </c>
      <c r="L119" s="21">
        <f>IF(K119="","",K119*Panduan!$C$22)</f>
        <v/>
      </c>
      <c r="M119" s="16" t="n"/>
      <c r="N119" s="15" t="n"/>
      <c r="O119" s="15" t="n"/>
    </row>
    <row r="120">
      <c r="A120" s="15" t="n"/>
      <c r="B120" s="16" t="n"/>
      <c r="C120" s="15" t="n"/>
      <c r="D120" s="17">
        <f>IF(C120="","",IFERROR(INDEX('Database Buyer'!$B$3:$B$247,MATCH(C120,'Database Buyer'!$A$3:$A$247,0)),"ID tidak ditemukan"))</f>
        <v/>
      </c>
      <c r="E120" s="17">
        <f>IF(C120="","",IFERROR(INDEX('Database Buyer'!$D$3:$D$247,MATCH(C120,'Database Buyer'!$A$3:$A$247,0)),""))</f>
        <v/>
      </c>
      <c r="F120" s="15" t="n"/>
      <c r="G120" s="15" t="n"/>
      <c r="H120" s="15" t="n"/>
      <c r="I120" s="18" t="n"/>
      <c r="J120" s="19" t="n"/>
      <c r="K120" s="20">
        <f>IF(OR(I120="",J120=""),"",I120*J120)</f>
        <v/>
      </c>
      <c r="L120" s="21">
        <f>IF(K120="","",K120*Panduan!$C$22)</f>
        <v/>
      </c>
      <c r="M120" s="16" t="n"/>
      <c r="N120" s="15" t="n"/>
      <c r="O120" s="15" t="n"/>
    </row>
    <row r="121">
      <c r="A121" s="15" t="n"/>
      <c r="B121" s="16" t="n"/>
      <c r="C121" s="15" t="n"/>
      <c r="D121" s="17">
        <f>IF(C121="","",IFERROR(INDEX('Database Buyer'!$B$3:$B$247,MATCH(C121,'Database Buyer'!$A$3:$A$247,0)),"ID tidak ditemukan"))</f>
        <v/>
      </c>
      <c r="E121" s="17">
        <f>IF(C121="","",IFERROR(INDEX('Database Buyer'!$D$3:$D$247,MATCH(C121,'Database Buyer'!$A$3:$A$247,0)),""))</f>
        <v/>
      </c>
      <c r="F121" s="15" t="n"/>
      <c r="G121" s="15" t="n"/>
      <c r="H121" s="15" t="n"/>
      <c r="I121" s="18" t="n"/>
      <c r="J121" s="19" t="n"/>
      <c r="K121" s="20">
        <f>IF(OR(I121="",J121=""),"",I121*J121)</f>
        <v/>
      </c>
      <c r="L121" s="21">
        <f>IF(K121="","",K121*Panduan!$C$22)</f>
        <v/>
      </c>
      <c r="M121" s="16" t="n"/>
      <c r="N121" s="15" t="n"/>
      <c r="O121" s="15" t="n"/>
    </row>
    <row r="122">
      <c r="A122" s="15" t="n"/>
      <c r="B122" s="16" t="n"/>
      <c r="C122" s="15" t="n"/>
      <c r="D122" s="17">
        <f>IF(C122="","",IFERROR(INDEX('Database Buyer'!$B$3:$B$247,MATCH(C122,'Database Buyer'!$A$3:$A$247,0)),"ID tidak ditemukan"))</f>
        <v/>
      </c>
      <c r="E122" s="17">
        <f>IF(C122="","",IFERROR(INDEX('Database Buyer'!$D$3:$D$247,MATCH(C122,'Database Buyer'!$A$3:$A$247,0)),""))</f>
        <v/>
      </c>
      <c r="F122" s="15" t="n"/>
      <c r="G122" s="15" t="n"/>
      <c r="H122" s="15" t="n"/>
      <c r="I122" s="18" t="n"/>
      <c r="J122" s="19" t="n"/>
      <c r="K122" s="20">
        <f>IF(OR(I122="",J122=""),"",I122*J122)</f>
        <v/>
      </c>
      <c r="L122" s="21">
        <f>IF(K122="","",K122*Panduan!$C$22)</f>
        <v/>
      </c>
      <c r="M122" s="16" t="n"/>
      <c r="N122" s="15" t="n"/>
      <c r="O122" s="15" t="n"/>
    </row>
    <row r="123">
      <c r="A123" s="15" t="n"/>
      <c r="B123" s="16" t="n"/>
      <c r="C123" s="15" t="n"/>
      <c r="D123" s="17">
        <f>IF(C123="","",IFERROR(INDEX('Database Buyer'!$B$3:$B$247,MATCH(C123,'Database Buyer'!$A$3:$A$247,0)),"ID tidak ditemukan"))</f>
        <v/>
      </c>
      <c r="E123" s="17">
        <f>IF(C123="","",IFERROR(INDEX('Database Buyer'!$D$3:$D$247,MATCH(C123,'Database Buyer'!$A$3:$A$247,0)),""))</f>
        <v/>
      </c>
      <c r="F123" s="15" t="n"/>
      <c r="G123" s="15" t="n"/>
      <c r="H123" s="15" t="n"/>
      <c r="I123" s="18" t="n"/>
      <c r="J123" s="19" t="n"/>
      <c r="K123" s="20">
        <f>IF(OR(I123="",J123=""),"",I123*J123)</f>
        <v/>
      </c>
      <c r="L123" s="21">
        <f>IF(K123="","",K123*Panduan!$C$22)</f>
        <v/>
      </c>
      <c r="M123" s="16" t="n"/>
      <c r="N123" s="15" t="n"/>
      <c r="O123" s="15" t="n"/>
    </row>
    <row r="124">
      <c r="A124" s="15" t="n"/>
      <c r="B124" s="16" t="n"/>
      <c r="C124" s="15" t="n"/>
      <c r="D124" s="17">
        <f>IF(C124="","",IFERROR(INDEX('Database Buyer'!$B$3:$B$247,MATCH(C124,'Database Buyer'!$A$3:$A$247,0)),"ID tidak ditemukan"))</f>
        <v/>
      </c>
      <c r="E124" s="17">
        <f>IF(C124="","",IFERROR(INDEX('Database Buyer'!$D$3:$D$247,MATCH(C124,'Database Buyer'!$A$3:$A$247,0)),""))</f>
        <v/>
      </c>
      <c r="F124" s="15" t="n"/>
      <c r="G124" s="15" t="n"/>
      <c r="H124" s="15" t="n"/>
      <c r="I124" s="18" t="n"/>
      <c r="J124" s="19" t="n"/>
      <c r="K124" s="20">
        <f>IF(OR(I124="",J124=""),"",I124*J124)</f>
        <v/>
      </c>
      <c r="L124" s="21">
        <f>IF(K124="","",K124*Panduan!$C$22)</f>
        <v/>
      </c>
      <c r="M124" s="16" t="n"/>
      <c r="N124" s="15" t="n"/>
      <c r="O124" s="15" t="n"/>
    </row>
    <row r="125">
      <c r="A125" s="15" t="n"/>
      <c r="B125" s="16" t="n"/>
      <c r="C125" s="15" t="n"/>
      <c r="D125" s="17">
        <f>IF(C125="","",IFERROR(INDEX('Database Buyer'!$B$3:$B$247,MATCH(C125,'Database Buyer'!$A$3:$A$247,0)),"ID tidak ditemukan"))</f>
        <v/>
      </c>
      <c r="E125" s="17">
        <f>IF(C125="","",IFERROR(INDEX('Database Buyer'!$D$3:$D$247,MATCH(C125,'Database Buyer'!$A$3:$A$247,0)),""))</f>
        <v/>
      </c>
      <c r="F125" s="15" t="n"/>
      <c r="G125" s="15" t="n"/>
      <c r="H125" s="15" t="n"/>
      <c r="I125" s="18" t="n"/>
      <c r="J125" s="19" t="n"/>
      <c r="K125" s="20">
        <f>IF(OR(I125="",J125=""),"",I125*J125)</f>
        <v/>
      </c>
      <c r="L125" s="21">
        <f>IF(K125="","",K125*Panduan!$C$22)</f>
        <v/>
      </c>
      <c r="M125" s="16" t="n"/>
      <c r="N125" s="15" t="n"/>
      <c r="O125" s="15" t="n"/>
    </row>
    <row r="126">
      <c r="A126" s="15" t="n"/>
      <c r="B126" s="16" t="n"/>
      <c r="C126" s="15" t="n"/>
      <c r="D126" s="17">
        <f>IF(C126="","",IFERROR(INDEX('Database Buyer'!$B$3:$B$247,MATCH(C126,'Database Buyer'!$A$3:$A$247,0)),"ID tidak ditemukan"))</f>
        <v/>
      </c>
      <c r="E126" s="17">
        <f>IF(C126="","",IFERROR(INDEX('Database Buyer'!$D$3:$D$247,MATCH(C126,'Database Buyer'!$A$3:$A$247,0)),""))</f>
        <v/>
      </c>
      <c r="F126" s="15" t="n"/>
      <c r="G126" s="15" t="n"/>
      <c r="H126" s="15" t="n"/>
      <c r="I126" s="18" t="n"/>
      <c r="J126" s="19" t="n"/>
      <c r="K126" s="20">
        <f>IF(OR(I126="",J126=""),"",I126*J126)</f>
        <v/>
      </c>
      <c r="L126" s="21">
        <f>IF(K126="","",K126*Panduan!$C$22)</f>
        <v/>
      </c>
      <c r="M126" s="16" t="n"/>
      <c r="N126" s="15" t="n"/>
      <c r="O126" s="15" t="n"/>
    </row>
    <row r="127">
      <c r="A127" s="15" t="n"/>
      <c r="B127" s="16" t="n"/>
      <c r="C127" s="15" t="n"/>
      <c r="D127" s="17">
        <f>IF(C127="","",IFERROR(INDEX('Database Buyer'!$B$3:$B$247,MATCH(C127,'Database Buyer'!$A$3:$A$247,0)),"ID tidak ditemukan"))</f>
        <v/>
      </c>
      <c r="E127" s="17">
        <f>IF(C127="","",IFERROR(INDEX('Database Buyer'!$D$3:$D$247,MATCH(C127,'Database Buyer'!$A$3:$A$247,0)),""))</f>
        <v/>
      </c>
      <c r="F127" s="15" t="n"/>
      <c r="G127" s="15" t="n"/>
      <c r="H127" s="15" t="n"/>
      <c r="I127" s="18" t="n"/>
      <c r="J127" s="19" t="n"/>
      <c r="K127" s="20">
        <f>IF(OR(I127="",J127=""),"",I127*J127)</f>
        <v/>
      </c>
      <c r="L127" s="21">
        <f>IF(K127="","",K127*Panduan!$C$22)</f>
        <v/>
      </c>
      <c r="M127" s="16" t="n"/>
      <c r="N127" s="15" t="n"/>
      <c r="O127" s="15" t="n"/>
    </row>
    <row r="128">
      <c r="A128" s="15" t="n"/>
      <c r="B128" s="16" t="n"/>
      <c r="C128" s="15" t="n"/>
      <c r="D128" s="17">
        <f>IF(C128="","",IFERROR(INDEX('Database Buyer'!$B$3:$B$247,MATCH(C128,'Database Buyer'!$A$3:$A$247,0)),"ID tidak ditemukan"))</f>
        <v/>
      </c>
      <c r="E128" s="17">
        <f>IF(C128="","",IFERROR(INDEX('Database Buyer'!$D$3:$D$247,MATCH(C128,'Database Buyer'!$A$3:$A$247,0)),""))</f>
        <v/>
      </c>
      <c r="F128" s="15" t="n"/>
      <c r="G128" s="15" t="n"/>
      <c r="H128" s="15" t="n"/>
      <c r="I128" s="18" t="n"/>
      <c r="J128" s="19" t="n"/>
      <c r="K128" s="20">
        <f>IF(OR(I128="",J128=""),"",I128*J128)</f>
        <v/>
      </c>
      <c r="L128" s="21">
        <f>IF(K128="","",K128*Panduan!$C$22)</f>
        <v/>
      </c>
      <c r="M128" s="16" t="n"/>
      <c r="N128" s="15" t="n"/>
      <c r="O128" s="15" t="n"/>
    </row>
    <row r="129">
      <c r="A129" s="15" t="n"/>
      <c r="B129" s="16" t="n"/>
      <c r="C129" s="15" t="n"/>
      <c r="D129" s="17">
        <f>IF(C129="","",IFERROR(INDEX('Database Buyer'!$B$3:$B$247,MATCH(C129,'Database Buyer'!$A$3:$A$247,0)),"ID tidak ditemukan"))</f>
        <v/>
      </c>
      <c r="E129" s="17">
        <f>IF(C129="","",IFERROR(INDEX('Database Buyer'!$D$3:$D$247,MATCH(C129,'Database Buyer'!$A$3:$A$247,0)),""))</f>
        <v/>
      </c>
      <c r="F129" s="15" t="n"/>
      <c r="G129" s="15" t="n"/>
      <c r="H129" s="15" t="n"/>
      <c r="I129" s="18" t="n"/>
      <c r="J129" s="19" t="n"/>
      <c r="K129" s="20">
        <f>IF(OR(I129="",J129=""),"",I129*J129)</f>
        <v/>
      </c>
      <c r="L129" s="21">
        <f>IF(K129="","",K129*Panduan!$C$22)</f>
        <v/>
      </c>
      <c r="M129" s="16" t="n"/>
      <c r="N129" s="15" t="n"/>
      <c r="O129" s="15" t="n"/>
    </row>
    <row r="130">
      <c r="A130" s="15" t="n"/>
      <c r="B130" s="16" t="n"/>
      <c r="C130" s="15" t="n"/>
      <c r="D130" s="17">
        <f>IF(C130="","",IFERROR(INDEX('Database Buyer'!$B$3:$B$247,MATCH(C130,'Database Buyer'!$A$3:$A$247,0)),"ID tidak ditemukan"))</f>
        <v/>
      </c>
      <c r="E130" s="17">
        <f>IF(C130="","",IFERROR(INDEX('Database Buyer'!$D$3:$D$247,MATCH(C130,'Database Buyer'!$A$3:$A$247,0)),""))</f>
        <v/>
      </c>
      <c r="F130" s="15" t="n"/>
      <c r="G130" s="15" t="n"/>
      <c r="H130" s="15" t="n"/>
      <c r="I130" s="18" t="n"/>
      <c r="J130" s="19" t="n"/>
      <c r="K130" s="20">
        <f>IF(OR(I130="",J130=""),"",I130*J130)</f>
        <v/>
      </c>
      <c r="L130" s="21">
        <f>IF(K130="","",K130*Panduan!$C$22)</f>
        <v/>
      </c>
      <c r="M130" s="16" t="n"/>
      <c r="N130" s="15" t="n"/>
      <c r="O130" s="15" t="n"/>
    </row>
    <row r="131">
      <c r="A131" s="15" t="n"/>
      <c r="B131" s="16" t="n"/>
      <c r="C131" s="15" t="n"/>
      <c r="D131" s="17">
        <f>IF(C131="","",IFERROR(INDEX('Database Buyer'!$B$3:$B$247,MATCH(C131,'Database Buyer'!$A$3:$A$247,0)),"ID tidak ditemukan"))</f>
        <v/>
      </c>
      <c r="E131" s="17">
        <f>IF(C131="","",IFERROR(INDEX('Database Buyer'!$D$3:$D$247,MATCH(C131,'Database Buyer'!$A$3:$A$247,0)),""))</f>
        <v/>
      </c>
      <c r="F131" s="15" t="n"/>
      <c r="G131" s="15" t="n"/>
      <c r="H131" s="15" t="n"/>
      <c r="I131" s="18" t="n"/>
      <c r="J131" s="19" t="n"/>
      <c r="K131" s="20">
        <f>IF(OR(I131="",J131=""),"",I131*J131)</f>
        <v/>
      </c>
      <c r="L131" s="21">
        <f>IF(K131="","",K131*Panduan!$C$22)</f>
        <v/>
      </c>
      <c r="M131" s="16" t="n"/>
      <c r="N131" s="15" t="n"/>
      <c r="O131" s="15" t="n"/>
    </row>
    <row r="132">
      <c r="A132" s="15" t="n"/>
      <c r="B132" s="16" t="n"/>
      <c r="C132" s="15" t="n"/>
      <c r="D132" s="17">
        <f>IF(C132="","",IFERROR(INDEX('Database Buyer'!$B$3:$B$247,MATCH(C132,'Database Buyer'!$A$3:$A$247,0)),"ID tidak ditemukan"))</f>
        <v/>
      </c>
      <c r="E132" s="17">
        <f>IF(C132="","",IFERROR(INDEX('Database Buyer'!$D$3:$D$247,MATCH(C132,'Database Buyer'!$A$3:$A$247,0)),""))</f>
        <v/>
      </c>
      <c r="F132" s="15" t="n"/>
      <c r="G132" s="15" t="n"/>
      <c r="H132" s="15" t="n"/>
      <c r="I132" s="18" t="n"/>
      <c r="J132" s="19" t="n"/>
      <c r="K132" s="20">
        <f>IF(OR(I132="",J132=""),"",I132*J132)</f>
        <v/>
      </c>
      <c r="L132" s="21">
        <f>IF(K132="","",K132*Panduan!$C$22)</f>
        <v/>
      </c>
      <c r="M132" s="16" t="n"/>
      <c r="N132" s="15" t="n"/>
      <c r="O132" s="15" t="n"/>
    </row>
    <row r="133">
      <c r="A133" s="15" t="n"/>
      <c r="B133" s="16" t="n"/>
      <c r="C133" s="15" t="n"/>
      <c r="D133" s="17">
        <f>IF(C133="","",IFERROR(INDEX('Database Buyer'!$B$3:$B$247,MATCH(C133,'Database Buyer'!$A$3:$A$247,0)),"ID tidak ditemukan"))</f>
        <v/>
      </c>
      <c r="E133" s="17">
        <f>IF(C133="","",IFERROR(INDEX('Database Buyer'!$D$3:$D$247,MATCH(C133,'Database Buyer'!$A$3:$A$247,0)),""))</f>
        <v/>
      </c>
      <c r="F133" s="15" t="n"/>
      <c r="G133" s="15" t="n"/>
      <c r="H133" s="15" t="n"/>
      <c r="I133" s="18" t="n"/>
      <c r="J133" s="19" t="n"/>
      <c r="K133" s="20">
        <f>IF(OR(I133="",J133=""),"",I133*J133)</f>
        <v/>
      </c>
      <c r="L133" s="21">
        <f>IF(K133="","",K133*Panduan!$C$22)</f>
        <v/>
      </c>
      <c r="M133" s="16" t="n"/>
      <c r="N133" s="15" t="n"/>
      <c r="O133" s="15" t="n"/>
    </row>
    <row r="134">
      <c r="A134" s="15" t="n"/>
      <c r="B134" s="16" t="n"/>
      <c r="C134" s="15" t="n"/>
      <c r="D134" s="17">
        <f>IF(C134="","",IFERROR(INDEX('Database Buyer'!$B$3:$B$247,MATCH(C134,'Database Buyer'!$A$3:$A$247,0)),"ID tidak ditemukan"))</f>
        <v/>
      </c>
      <c r="E134" s="17">
        <f>IF(C134="","",IFERROR(INDEX('Database Buyer'!$D$3:$D$247,MATCH(C134,'Database Buyer'!$A$3:$A$247,0)),""))</f>
        <v/>
      </c>
      <c r="F134" s="15" t="n"/>
      <c r="G134" s="15" t="n"/>
      <c r="H134" s="15" t="n"/>
      <c r="I134" s="18" t="n"/>
      <c r="J134" s="19" t="n"/>
      <c r="K134" s="20">
        <f>IF(OR(I134="",J134=""),"",I134*J134)</f>
        <v/>
      </c>
      <c r="L134" s="21">
        <f>IF(K134="","",K134*Panduan!$C$22)</f>
        <v/>
      </c>
      <c r="M134" s="16" t="n"/>
      <c r="N134" s="15" t="n"/>
      <c r="O134" s="15" t="n"/>
    </row>
    <row r="135">
      <c r="A135" s="15" t="n"/>
      <c r="B135" s="16" t="n"/>
      <c r="C135" s="15" t="n"/>
      <c r="D135" s="17">
        <f>IF(C135="","",IFERROR(INDEX('Database Buyer'!$B$3:$B$247,MATCH(C135,'Database Buyer'!$A$3:$A$247,0)),"ID tidak ditemukan"))</f>
        <v/>
      </c>
      <c r="E135" s="17">
        <f>IF(C135="","",IFERROR(INDEX('Database Buyer'!$D$3:$D$247,MATCH(C135,'Database Buyer'!$A$3:$A$247,0)),""))</f>
        <v/>
      </c>
      <c r="F135" s="15" t="n"/>
      <c r="G135" s="15" t="n"/>
      <c r="H135" s="15" t="n"/>
      <c r="I135" s="18" t="n"/>
      <c r="J135" s="19" t="n"/>
      <c r="K135" s="20">
        <f>IF(OR(I135="",J135=""),"",I135*J135)</f>
        <v/>
      </c>
      <c r="L135" s="21">
        <f>IF(K135="","",K135*Panduan!$C$22)</f>
        <v/>
      </c>
      <c r="M135" s="16" t="n"/>
      <c r="N135" s="15" t="n"/>
      <c r="O135" s="15" t="n"/>
    </row>
    <row r="136">
      <c r="A136" s="15" t="n"/>
      <c r="B136" s="16" t="n"/>
      <c r="C136" s="15" t="n"/>
      <c r="D136" s="17">
        <f>IF(C136="","",IFERROR(INDEX('Database Buyer'!$B$3:$B$247,MATCH(C136,'Database Buyer'!$A$3:$A$247,0)),"ID tidak ditemukan"))</f>
        <v/>
      </c>
      <c r="E136" s="17">
        <f>IF(C136="","",IFERROR(INDEX('Database Buyer'!$D$3:$D$247,MATCH(C136,'Database Buyer'!$A$3:$A$247,0)),""))</f>
        <v/>
      </c>
      <c r="F136" s="15" t="n"/>
      <c r="G136" s="15" t="n"/>
      <c r="H136" s="15" t="n"/>
      <c r="I136" s="18" t="n"/>
      <c r="J136" s="19" t="n"/>
      <c r="K136" s="20">
        <f>IF(OR(I136="",J136=""),"",I136*J136)</f>
        <v/>
      </c>
      <c r="L136" s="21">
        <f>IF(K136="","",K136*Panduan!$C$22)</f>
        <v/>
      </c>
      <c r="M136" s="16" t="n"/>
      <c r="N136" s="15" t="n"/>
      <c r="O136" s="15" t="n"/>
    </row>
    <row r="137">
      <c r="A137" s="15" t="n"/>
      <c r="B137" s="16" t="n"/>
      <c r="C137" s="15" t="n"/>
      <c r="D137" s="17">
        <f>IF(C137="","",IFERROR(INDEX('Database Buyer'!$B$3:$B$247,MATCH(C137,'Database Buyer'!$A$3:$A$247,0)),"ID tidak ditemukan"))</f>
        <v/>
      </c>
      <c r="E137" s="17">
        <f>IF(C137="","",IFERROR(INDEX('Database Buyer'!$D$3:$D$247,MATCH(C137,'Database Buyer'!$A$3:$A$247,0)),""))</f>
        <v/>
      </c>
      <c r="F137" s="15" t="n"/>
      <c r="G137" s="15" t="n"/>
      <c r="H137" s="15" t="n"/>
      <c r="I137" s="18" t="n"/>
      <c r="J137" s="19" t="n"/>
      <c r="K137" s="20">
        <f>IF(OR(I137="",J137=""),"",I137*J137)</f>
        <v/>
      </c>
      <c r="L137" s="21">
        <f>IF(K137="","",K137*Panduan!$C$22)</f>
        <v/>
      </c>
      <c r="M137" s="16" t="n"/>
      <c r="N137" s="15" t="n"/>
      <c r="O137" s="15" t="n"/>
    </row>
    <row r="138">
      <c r="A138" s="15" t="n"/>
      <c r="B138" s="16" t="n"/>
      <c r="C138" s="15" t="n"/>
      <c r="D138" s="17">
        <f>IF(C138="","",IFERROR(INDEX('Database Buyer'!$B$3:$B$247,MATCH(C138,'Database Buyer'!$A$3:$A$247,0)),"ID tidak ditemukan"))</f>
        <v/>
      </c>
      <c r="E138" s="17">
        <f>IF(C138="","",IFERROR(INDEX('Database Buyer'!$D$3:$D$247,MATCH(C138,'Database Buyer'!$A$3:$A$247,0)),""))</f>
        <v/>
      </c>
      <c r="F138" s="15" t="n"/>
      <c r="G138" s="15" t="n"/>
      <c r="H138" s="15" t="n"/>
      <c r="I138" s="18" t="n"/>
      <c r="J138" s="19" t="n"/>
      <c r="K138" s="20">
        <f>IF(OR(I138="",J138=""),"",I138*J138)</f>
        <v/>
      </c>
      <c r="L138" s="21">
        <f>IF(K138="","",K138*Panduan!$C$22)</f>
        <v/>
      </c>
      <c r="M138" s="16" t="n"/>
      <c r="N138" s="15" t="n"/>
      <c r="O138" s="15" t="n"/>
    </row>
    <row r="139">
      <c r="A139" s="15" t="n"/>
      <c r="B139" s="16" t="n"/>
      <c r="C139" s="15" t="n"/>
      <c r="D139" s="17">
        <f>IF(C139="","",IFERROR(INDEX('Database Buyer'!$B$3:$B$247,MATCH(C139,'Database Buyer'!$A$3:$A$247,0)),"ID tidak ditemukan"))</f>
        <v/>
      </c>
      <c r="E139" s="17">
        <f>IF(C139="","",IFERROR(INDEX('Database Buyer'!$D$3:$D$247,MATCH(C139,'Database Buyer'!$A$3:$A$247,0)),""))</f>
        <v/>
      </c>
      <c r="F139" s="15" t="n"/>
      <c r="G139" s="15" t="n"/>
      <c r="H139" s="15" t="n"/>
      <c r="I139" s="18" t="n"/>
      <c r="J139" s="19" t="n"/>
      <c r="K139" s="20">
        <f>IF(OR(I139="",J139=""),"",I139*J139)</f>
        <v/>
      </c>
      <c r="L139" s="21">
        <f>IF(K139="","",K139*Panduan!$C$22)</f>
        <v/>
      </c>
      <c r="M139" s="16" t="n"/>
      <c r="N139" s="15" t="n"/>
      <c r="O139" s="15" t="n"/>
    </row>
    <row r="140">
      <c r="A140" s="15" t="n"/>
      <c r="B140" s="16" t="n"/>
      <c r="C140" s="15" t="n"/>
      <c r="D140" s="17">
        <f>IF(C140="","",IFERROR(INDEX('Database Buyer'!$B$3:$B$247,MATCH(C140,'Database Buyer'!$A$3:$A$247,0)),"ID tidak ditemukan"))</f>
        <v/>
      </c>
      <c r="E140" s="17">
        <f>IF(C140="","",IFERROR(INDEX('Database Buyer'!$D$3:$D$247,MATCH(C140,'Database Buyer'!$A$3:$A$247,0)),""))</f>
        <v/>
      </c>
      <c r="F140" s="15" t="n"/>
      <c r="G140" s="15" t="n"/>
      <c r="H140" s="15" t="n"/>
      <c r="I140" s="18" t="n"/>
      <c r="J140" s="19" t="n"/>
      <c r="K140" s="20">
        <f>IF(OR(I140="",J140=""),"",I140*J140)</f>
        <v/>
      </c>
      <c r="L140" s="21">
        <f>IF(K140="","",K140*Panduan!$C$22)</f>
        <v/>
      </c>
      <c r="M140" s="16" t="n"/>
      <c r="N140" s="15" t="n"/>
      <c r="O140" s="15" t="n"/>
    </row>
    <row r="141">
      <c r="A141" s="15" t="n"/>
      <c r="B141" s="16" t="n"/>
      <c r="C141" s="15" t="n"/>
      <c r="D141" s="17">
        <f>IF(C141="","",IFERROR(INDEX('Database Buyer'!$B$3:$B$247,MATCH(C141,'Database Buyer'!$A$3:$A$247,0)),"ID tidak ditemukan"))</f>
        <v/>
      </c>
      <c r="E141" s="17">
        <f>IF(C141="","",IFERROR(INDEX('Database Buyer'!$D$3:$D$247,MATCH(C141,'Database Buyer'!$A$3:$A$247,0)),""))</f>
        <v/>
      </c>
      <c r="F141" s="15" t="n"/>
      <c r="G141" s="15" t="n"/>
      <c r="H141" s="15" t="n"/>
      <c r="I141" s="18" t="n"/>
      <c r="J141" s="19" t="n"/>
      <c r="K141" s="20">
        <f>IF(OR(I141="",J141=""),"",I141*J141)</f>
        <v/>
      </c>
      <c r="L141" s="21">
        <f>IF(K141="","",K141*Panduan!$C$22)</f>
        <v/>
      </c>
      <c r="M141" s="16" t="n"/>
      <c r="N141" s="15" t="n"/>
      <c r="O141" s="15" t="n"/>
    </row>
    <row r="142">
      <c r="A142" s="15" t="n"/>
      <c r="B142" s="16" t="n"/>
      <c r="C142" s="15" t="n"/>
      <c r="D142" s="17">
        <f>IF(C142="","",IFERROR(INDEX('Database Buyer'!$B$3:$B$247,MATCH(C142,'Database Buyer'!$A$3:$A$247,0)),"ID tidak ditemukan"))</f>
        <v/>
      </c>
      <c r="E142" s="17">
        <f>IF(C142="","",IFERROR(INDEX('Database Buyer'!$D$3:$D$247,MATCH(C142,'Database Buyer'!$A$3:$A$247,0)),""))</f>
        <v/>
      </c>
      <c r="F142" s="15" t="n"/>
      <c r="G142" s="15" t="n"/>
      <c r="H142" s="15" t="n"/>
      <c r="I142" s="18" t="n"/>
      <c r="J142" s="19" t="n"/>
      <c r="K142" s="20">
        <f>IF(OR(I142="",J142=""),"",I142*J142)</f>
        <v/>
      </c>
      <c r="L142" s="21">
        <f>IF(K142="","",K142*Panduan!$C$22)</f>
        <v/>
      </c>
      <c r="M142" s="16" t="n"/>
      <c r="N142" s="15" t="n"/>
      <c r="O142" s="15" t="n"/>
    </row>
    <row r="143">
      <c r="A143" s="15" t="n"/>
      <c r="B143" s="16" t="n"/>
      <c r="C143" s="15" t="n"/>
      <c r="D143" s="17">
        <f>IF(C143="","",IFERROR(INDEX('Database Buyer'!$B$3:$B$247,MATCH(C143,'Database Buyer'!$A$3:$A$247,0)),"ID tidak ditemukan"))</f>
        <v/>
      </c>
      <c r="E143" s="17">
        <f>IF(C143="","",IFERROR(INDEX('Database Buyer'!$D$3:$D$247,MATCH(C143,'Database Buyer'!$A$3:$A$247,0)),""))</f>
        <v/>
      </c>
      <c r="F143" s="15" t="n"/>
      <c r="G143" s="15" t="n"/>
      <c r="H143" s="15" t="n"/>
      <c r="I143" s="18" t="n"/>
      <c r="J143" s="19" t="n"/>
      <c r="K143" s="20">
        <f>IF(OR(I143="",J143=""),"",I143*J143)</f>
        <v/>
      </c>
      <c r="L143" s="21">
        <f>IF(K143="","",K143*Panduan!$C$22)</f>
        <v/>
      </c>
      <c r="M143" s="16" t="n"/>
      <c r="N143" s="15" t="n"/>
      <c r="O143" s="15" t="n"/>
    </row>
    <row r="144">
      <c r="A144" s="15" t="n"/>
      <c r="B144" s="16" t="n"/>
      <c r="C144" s="15" t="n"/>
      <c r="D144" s="17">
        <f>IF(C144="","",IFERROR(INDEX('Database Buyer'!$B$3:$B$247,MATCH(C144,'Database Buyer'!$A$3:$A$247,0)),"ID tidak ditemukan"))</f>
        <v/>
      </c>
      <c r="E144" s="17">
        <f>IF(C144="","",IFERROR(INDEX('Database Buyer'!$D$3:$D$247,MATCH(C144,'Database Buyer'!$A$3:$A$247,0)),""))</f>
        <v/>
      </c>
      <c r="F144" s="15" t="n"/>
      <c r="G144" s="15" t="n"/>
      <c r="H144" s="15" t="n"/>
      <c r="I144" s="18" t="n"/>
      <c r="J144" s="19" t="n"/>
      <c r="K144" s="20">
        <f>IF(OR(I144="",J144=""),"",I144*J144)</f>
        <v/>
      </c>
      <c r="L144" s="21">
        <f>IF(K144="","",K144*Panduan!$C$22)</f>
        <v/>
      </c>
      <c r="M144" s="16" t="n"/>
      <c r="N144" s="15" t="n"/>
      <c r="O144" s="15" t="n"/>
    </row>
    <row r="145">
      <c r="A145" s="15" t="n"/>
      <c r="B145" s="16" t="n"/>
      <c r="C145" s="15" t="n"/>
      <c r="D145" s="17">
        <f>IF(C145="","",IFERROR(INDEX('Database Buyer'!$B$3:$B$247,MATCH(C145,'Database Buyer'!$A$3:$A$247,0)),"ID tidak ditemukan"))</f>
        <v/>
      </c>
      <c r="E145" s="17">
        <f>IF(C145="","",IFERROR(INDEX('Database Buyer'!$D$3:$D$247,MATCH(C145,'Database Buyer'!$A$3:$A$247,0)),""))</f>
        <v/>
      </c>
      <c r="F145" s="15" t="n"/>
      <c r="G145" s="15" t="n"/>
      <c r="H145" s="15" t="n"/>
      <c r="I145" s="18" t="n"/>
      <c r="J145" s="19" t="n"/>
      <c r="K145" s="20">
        <f>IF(OR(I145="",J145=""),"",I145*J145)</f>
        <v/>
      </c>
      <c r="L145" s="21">
        <f>IF(K145="","",K145*Panduan!$C$22)</f>
        <v/>
      </c>
      <c r="M145" s="16" t="n"/>
      <c r="N145" s="15" t="n"/>
      <c r="O145" s="15" t="n"/>
    </row>
    <row r="146">
      <c r="A146" s="15" t="n"/>
      <c r="B146" s="16" t="n"/>
      <c r="C146" s="15" t="n"/>
      <c r="D146" s="17">
        <f>IF(C146="","",IFERROR(INDEX('Database Buyer'!$B$3:$B$247,MATCH(C146,'Database Buyer'!$A$3:$A$247,0)),"ID tidak ditemukan"))</f>
        <v/>
      </c>
      <c r="E146" s="17">
        <f>IF(C146="","",IFERROR(INDEX('Database Buyer'!$D$3:$D$247,MATCH(C146,'Database Buyer'!$A$3:$A$247,0)),""))</f>
        <v/>
      </c>
      <c r="F146" s="15" t="n"/>
      <c r="G146" s="15" t="n"/>
      <c r="H146" s="15" t="n"/>
      <c r="I146" s="18" t="n"/>
      <c r="J146" s="19" t="n"/>
      <c r="K146" s="20">
        <f>IF(OR(I146="",J146=""),"",I146*J146)</f>
        <v/>
      </c>
      <c r="L146" s="21">
        <f>IF(K146="","",K146*Panduan!$C$22)</f>
        <v/>
      </c>
      <c r="M146" s="16" t="n"/>
      <c r="N146" s="15" t="n"/>
      <c r="O146" s="15" t="n"/>
    </row>
    <row r="147">
      <c r="A147" s="15" t="n"/>
      <c r="B147" s="16" t="n"/>
      <c r="C147" s="15" t="n"/>
      <c r="D147" s="17">
        <f>IF(C147="","",IFERROR(INDEX('Database Buyer'!$B$3:$B$247,MATCH(C147,'Database Buyer'!$A$3:$A$247,0)),"ID tidak ditemukan"))</f>
        <v/>
      </c>
      <c r="E147" s="17">
        <f>IF(C147="","",IFERROR(INDEX('Database Buyer'!$D$3:$D$247,MATCH(C147,'Database Buyer'!$A$3:$A$247,0)),""))</f>
        <v/>
      </c>
      <c r="F147" s="15" t="n"/>
      <c r="G147" s="15" t="n"/>
      <c r="H147" s="15" t="n"/>
      <c r="I147" s="18" t="n"/>
      <c r="J147" s="19" t="n"/>
      <c r="K147" s="20">
        <f>IF(OR(I147="",J147=""),"",I147*J147)</f>
        <v/>
      </c>
      <c r="L147" s="21">
        <f>IF(K147="","",K147*Panduan!$C$22)</f>
        <v/>
      </c>
      <c r="M147" s="16" t="n"/>
      <c r="N147" s="15" t="n"/>
      <c r="O147" s="15" t="n"/>
    </row>
    <row r="148">
      <c r="A148" s="15" t="n"/>
      <c r="B148" s="16" t="n"/>
      <c r="C148" s="15" t="n"/>
      <c r="D148" s="17">
        <f>IF(C148="","",IFERROR(INDEX('Database Buyer'!$B$3:$B$247,MATCH(C148,'Database Buyer'!$A$3:$A$247,0)),"ID tidak ditemukan"))</f>
        <v/>
      </c>
      <c r="E148" s="17">
        <f>IF(C148="","",IFERROR(INDEX('Database Buyer'!$D$3:$D$247,MATCH(C148,'Database Buyer'!$A$3:$A$247,0)),""))</f>
        <v/>
      </c>
      <c r="F148" s="15" t="n"/>
      <c r="G148" s="15" t="n"/>
      <c r="H148" s="15" t="n"/>
      <c r="I148" s="18" t="n"/>
      <c r="J148" s="19" t="n"/>
      <c r="K148" s="20">
        <f>IF(OR(I148="",J148=""),"",I148*J148)</f>
        <v/>
      </c>
      <c r="L148" s="21">
        <f>IF(K148="","",K148*Panduan!$C$22)</f>
        <v/>
      </c>
      <c r="M148" s="16" t="n"/>
      <c r="N148" s="15" t="n"/>
      <c r="O148" s="15" t="n"/>
    </row>
    <row r="149">
      <c r="A149" s="15" t="n"/>
      <c r="B149" s="16" t="n"/>
      <c r="C149" s="15" t="n"/>
      <c r="D149" s="17">
        <f>IF(C149="","",IFERROR(INDEX('Database Buyer'!$B$3:$B$247,MATCH(C149,'Database Buyer'!$A$3:$A$247,0)),"ID tidak ditemukan"))</f>
        <v/>
      </c>
      <c r="E149" s="17">
        <f>IF(C149="","",IFERROR(INDEX('Database Buyer'!$D$3:$D$247,MATCH(C149,'Database Buyer'!$A$3:$A$247,0)),""))</f>
        <v/>
      </c>
      <c r="F149" s="15" t="n"/>
      <c r="G149" s="15" t="n"/>
      <c r="H149" s="15" t="n"/>
      <c r="I149" s="18" t="n"/>
      <c r="J149" s="19" t="n"/>
      <c r="K149" s="20">
        <f>IF(OR(I149="",J149=""),"",I149*J149)</f>
        <v/>
      </c>
      <c r="L149" s="21">
        <f>IF(K149="","",K149*Panduan!$C$22)</f>
        <v/>
      </c>
      <c r="M149" s="16" t="n"/>
      <c r="N149" s="15" t="n"/>
      <c r="O149" s="15" t="n"/>
    </row>
    <row r="150">
      <c r="A150" s="15" t="n"/>
      <c r="B150" s="16" t="n"/>
      <c r="C150" s="15" t="n"/>
      <c r="D150" s="17">
        <f>IF(C150="","",IFERROR(INDEX('Database Buyer'!$B$3:$B$247,MATCH(C150,'Database Buyer'!$A$3:$A$247,0)),"ID tidak ditemukan"))</f>
        <v/>
      </c>
      <c r="E150" s="17">
        <f>IF(C150="","",IFERROR(INDEX('Database Buyer'!$D$3:$D$247,MATCH(C150,'Database Buyer'!$A$3:$A$247,0)),""))</f>
        <v/>
      </c>
      <c r="F150" s="15" t="n"/>
      <c r="G150" s="15" t="n"/>
      <c r="H150" s="15" t="n"/>
      <c r="I150" s="18" t="n"/>
      <c r="J150" s="19" t="n"/>
      <c r="K150" s="20">
        <f>IF(OR(I150="",J150=""),"",I150*J150)</f>
        <v/>
      </c>
      <c r="L150" s="21">
        <f>IF(K150="","",K150*Panduan!$C$22)</f>
        <v/>
      </c>
      <c r="M150" s="16" t="n"/>
      <c r="N150" s="15" t="n"/>
      <c r="O150" s="15" t="n"/>
    </row>
    <row r="151">
      <c r="A151" s="15" t="n"/>
      <c r="B151" s="16" t="n"/>
      <c r="C151" s="15" t="n"/>
      <c r="D151" s="17">
        <f>IF(C151="","",IFERROR(INDEX('Database Buyer'!$B$3:$B$247,MATCH(C151,'Database Buyer'!$A$3:$A$247,0)),"ID tidak ditemukan"))</f>
        <v/>
      </c>
      <c r="E151" s="17">
        <f>IF(C151="","",IFERROR(INDEX('Database Buyer'!$D$3:$D$247,MATCH(C151,'Database Buyer'!$A$3:$A$247,0)),""))</f>
        <v/>
      </c>
      <c r="F151" s="15" t="n"/>
      <c r="G151" s="15" t="n"/>
      <c r="H151" s="15" t="n"/>
      <c r="I151" s="18" t="n"/>
      <c r="J151" s="19" t="n"/>
      <c r="K151" s="20">
        <f>IF(OR(I151="",J151=""),"",I151*J151)</f>
        <v/>
      </c>
      <c r="L151" s="21">
        <f>IF(K151="","",K151*Panduan!$C$22)</f>
        <v/>
      </c>
      <c r="M151" s="16" t="n"/>
      <c r="N151" s="15" t="n"/>
      <c r="O151" s="15" t="n"/>
    </row>
    <row r="152">
      <c r="A152" s="15" t="n"/>
      <c r="B152" s="16" t="n"/>
      <c r="C152" s="15" t="n"/>
      <c r="D152" s="17">
        <f>IF(C152="","",IFERROR(INDEX('Database Buyer'!$B$3:$B$247,MATCH(C152,'Database Buyer'!$A$3:$A$247,0)),"ID tidak ditemukan"))</f>
        <v/>
      </c>
      <c r="E152" s="17">
        <f>IF(C152="","",IFERROR(INDEX('Database Buyer'!$D$3:$D$247,MATCH(C152,'Database Buyer'!$A$3:$A$247,0)),""))</f>
        <v/>
      </c>
      <c r="F152" s="15" t="n"/>
      <c r="G152" s="15" t="n"/>
      <c r="H152" s="15" t="n"/>
      <c r="I152" s="18" t="n"/>
      <c r="J152" s="19" t="n"/>
      <c r="K152" s="20">
        <f>IF(OR(I152="",J152=""),"",I152*J152)</f>
        <v/>
      </c>
      <c r="L152" s="21">
        <f>IF(K152="","",K152*Panduan!$C$22)</f>
        <v/>
      </c>
      <c r="M152" s="16" t="n"/>
      <c r="N152" s="15" t="n"/>
      <c r="O152" s="15" t="n"/>
    </row>
    <row r="153">
      <c r="A153" s="15" t="n"/>
      <c r="B153" s="16" t="n"/>
      <c r="C153" s="15" t="n"/>
      <c r="D153" s="17">
        <f>IF(C153="","",IFERROR(INDEX('Database Buyer'!$B$3:$B$247,MATCH(C153,'Database Buyer'!$A$3:$A$247,0)),"ID tidak ditemukan"))</f>
        <v/>
      </c>
      <c r="E153" s="17">
        <f>IF(C153="","",IFERROR(INDEX('Database Buyer'!$D$3:$D$247,MATCH(C153,'Database Buyer'!$A$3:$A$247,0)),""))</f>
        <v/>
      </c>
      <c r="F153" s="15" t="n"/>
      <c r="G153" s="15" t="n"/>
      <c r="H153" s="15" t="n"/>
      <c r="I153" s="18" t="n"/>
      <c r="J153" s="19" t="n"/>
      <c r="K153" s="20">
        <f>IF(OR(I153="",J153=""),"",I153*J153)</f>
        <v/>
      </c>
      <c r="L153" s="21">
        <f>IF(K153="","",K153*Panduan!$C$22)</f>
        <v/>
      </c>
      <c r="M153" s="16" t="n"/>
      <c r="N153" s="15" t="n"/>
      <c r="O153" s="15" t="n"/>
    </row>
    <row r="154">
      <c r="A154" s="15" t="n"/>
      <c r="B154" s="16" t="n"/>
      <c r="C154" s="15" t="n"/>
      <c r="D154" s="17">
        <f>IF(C154="","",IFERROR(INDEX('Database Buyer'!$B$3:$B$247,MATCH(C154,'Database Buyer'!$A$3:$A$247,0)),"ID tidak ditemukan"))</f>
        <v/>
      </c>
      <c r="E154" s="17">
        <f>IF(C154="","",IFERROR(INDEX('Database Buyer'!$D$3:$D$247,MATCH(C154,'Database Buyer'!$A$3:$A$247,0)),""))</f>
        <v/>
      </c>
      <c r="F154" s="15" t="n"/>
      <c r="G154" s="15" t="n"/>
      <c r="H154" s="15" t="n"/>
      <c r="I154" s="18" t="n"/>
      <c r="J154" s="19" t="n"/>
      <c r="K154" s="20">
        <f>IF(OR(I154="",J154=""),"",I154*J154)</f>
        <v/>
      </c>
      <c r="L154" s="21">
        <f>IF(K154="","",K154*Panduan!$C$22)</f>
        <v/>
      </c>
      <c r="M154" s="16" t="n"/>
      <c r="N154" s="15" t="n"/>
      <c r="O154" s="15" t="n"/>
    </row>
    <row r="155">
      <c r="A155" s="15" t="n"/>
      <c r="B155" s="16" t="n"/>
      <c r="C155" s="15" t="n"/>
      <c r="D155" s="17">
        <f>IF(C155="","",IFERROR(INDEX('Database Buyer'!$B$3:$B$247,MATCH(C155,'Database Buyer'!$A$3:$A$247,0)),"ID tidak ditemukan"))</f>
        <v/>
      </c>
      <c r="E155" s="17">
        <f>IF(C155="","",IFERROR(INDEX('Database Buyer'!$D$3:$D$247,MATCH(C155,'Database Buyer'!$A$3:$A$247,0)),""))</f>
        <v/>
      </c>
      <c r="F155" s="15" t="n"/>
      <c r="G155" s="15" t="n"/>
      <c r="H155" s="15" t="n"/>
      <c r="I155" s="18" t="n"/>
      <c r="J155" s="19" t="n"/>
      <c r="K155" s="20">
        <f>IF(OR(I155="",J155=""),"",I155*J155)</f>
        <v/>
      </c>
      <c r="L155" s="21">
        <f>IF(K155="","",K155*Panduan!$C$22)</f>
        <v/>
      </c>
      <c r="M155" s="16" t="n"/>
      <c r="N155" s="15" t="n"/>
      <c r="O155" s="15" t="n"/>
    </row>
    <row r="156">
      <c r="A156" s="15" t="n"/>
      <c r="B156" s="16" t="n"/>
      <c r="C156" s="15" t="n"/>
      <c r="D156" s="17">
        <f>IF(C156="","",IFERROR(INDEX('Database Buyer'!$B$3:$B$247,MATCH(C156,'Database Buyer'!$A$3:$A$247,0)),"ID tidak ditemukan"))</f>
        <v/>
      </c>
      <c r="E156" s="17">
        <f>IF(C156="","",IFERROR(INDEX('Database Buyer'!$D$3:$D$247,MATCH(C156,'Database Buyer'!$A$3:$A$247,0)),""))</f>
        <v/>
      </c>
      <c r="F156" s="15" t="n"/>
      <c r="G156" s="15" t="n"/>
      <c r="H156" s="15" t="n"/>
      <c r="I156" s="18" t="n"/>
      <c r="J156" s="19" t="n"/>
      <c r="K156" s="20">
        <f>IF(OR(I156="",J156=""),"",I156*J156)</f>
        <v/>
      </c>
      <c r="L156" s="21">
        <f>IF(K156="","",K156*Panduan!$C$22)</f>
        <v/>
      </c>
      <c r="M156" s="16" t="n"/>
      <c r="N156" s="15" t="n"/>
      <c r="O156" s="15" t="n"/>
    </row>
    <row r="157">
      <c r="A157" s="15" t="n"/>
      <c r="B157" s="16" t="n"/>
      <c r="C157" s="15" t="n"/>
      <c r="D157" s="17">
        <f>IF(C157="","",IFERROR(INDEX('Database Buyer'!$B$3:$B$247,MATCH(C157,'Database Buyer'!$A$3:$A$247,0)),"ID tidak ditemukan"))</f>
        <v/>
      </c>
      <c r="E157" s="17">
        <f>IF(C157="","",IFERROR(INDEX('Database Buyer'!$D$3:$D$247,MATCH(C157,'Database Buyer'!$A$3:$A$247,0)),""))</f>
        <v/>
      </c>
      <c r="F157" s="15" t="n"/>
      <c r="G157" s="15" t="n"/>
      <c r="H157" s="15" t="n"/>
      <c r="I157" s="18" t="n"/>
      <c r="J157" s="19" t="n"/>
      <c r="K157" s="20">
        <f>IF(OR(I157="",J157=""),"",I157*J157)</f>
        <v/>
      </c>
      <c r="L157" s="21">
        <f>IF(K157="","",K157*Panduan!$C$22)</f>
        <v/>
      </c>
      <c r="M157" s="16" t="n"/>
      <c r="N157" s="15" t="n"/>
      <c r="O157" s="15" t="n"/>
    </row>
    <row r="158">
      <c r="A158" s="15" t="n"/>
      <c r="B158" s="16" t="n"/>
      <c r="C158" s="15" t="n"/>
      <c r="D158" s="17">
        <f>IF(C158="","",IFERROR(INDEX('Database Buyer'!$B$3:$B$247,MATCH(C158,'Database Buyer'!$A$3:$A$247,0)),"ID tidak ditemukan"))</f>
        <v/>
      </c>
      <c r="E158" s="17">
        <f>IF(C158="","",IFERROR(INDEX('Database Buyer'!$D$3:$D$247,MATCH(C158,'Database Buyer'!$A$3:$A$247,0)),""))</f>
        <v/>
      </c>
      <c r="F158" s="15" t="n"/>
      <c r="G158" s="15" t="n"/>
      <c r="H158" s="15" t="n"/>
      <c r="I158" s="18" t="n"/>
      <c r="J158" s="19" t="n"/>
      <c r="K158" s="20">
        <f>IF(OR(I158="",J158=""),"",I158*J158)</f>
        <v/>
      </c>
      <c r="L158" s="21">
        <f>IF(K158="","",K158*Panduan!$C$22)</f>
        <v/>
      </c>
      <c r="M158" s="16" t="n"/>
      <c r="N158" s="15" t="n"/>
      <c r="O158" s="15" t="n"/>
    </row>
    <row r="159">
      <c r="A159" s="15" t="n"/>
      <c r="B159" s="16" t="n"/>
      <c r="C159" s="15" t="n"/>
      <c r="D159" s="17">
        <f>IF(C159="","",IFERROR(INDEX('Database Buyer'!$B$3:$B$247,MATCH(C159,'Database Buyer'!$A$3:$A$247,0)),"ID tidak ditemukan"))</f>
        <v/>
      </c>
      <c r="E159" s="17">
        <f>IF(C159="","",IFERROR(INDEX('Database Buyer'!$D$3:$D$247,MATCH(C159,'Database Buyer'!$A$3:$A$247,0)),""))</f>
        <v/>
      </c>
      <c r="F159" s="15" t="n"/>
      <c r="G159" s="15" t="n"/>
      <c r="H159" s="15" t="n"/>
      <c r="I159" s="18" t="n"/>
      <c r="J159" s="19" t="n"/>
      <c r="K159" s="20">
        <f>IF(OR(I159="",J159=""),"",I159*J159)</f>
        <v/>
      </c>
      <c r="L159" s="21">
        <f>IF(K159="","",K159*Panduan!$C$22)</f>
        <v/>
      </c>
      <c r="M159" s="16" t="n"/>
      <c r="N159" s="15" t="n"/>
      <c r="O159" s="15" t="n"/>
    </row>
    <row r="160">
      <c r="A160" s="15" t="n"/>
      <c r="B160" s="16" t="n"/>
      <c r="C160" s="15" t="n"/>
      <c r="D160" s="17">
        <f>IF(C160="","",IFERROR(INDEX('Database Buyer'!$B$3:$B$247,MATCH(C160,'Database Buyer'!$A$3:$A$247,0)),"ID tidak ditemukan"))</f>
        <v/>
      </c>
      <c r="E160" s="17">
        <f>IF(C160="","",IFERROR(INDEX('Database Buyer'!$D$3:$D$247,MATCH(C160,'Database Buyer'!$A$3:$A$247,0)),""))</f>
        <v/>
      </c>
      <c r="F160" s="15" t="n"/>
      <c r="G160" s="15" t="n"/>
      <c r="H160" s="15" t="n"/>
      <c r="I160" s="18" t="n"/>
      <c r="J160" s="19" t="n"/>
      <c r="K160" s="20">
        <f>IF(OR(I160="",J160=""),"",I160*J160)</f>
        <v/>
      </c>
      <c r="L160" s="21">
        <f>IF(K160="","",K160*Panduan!$C$22)</f>
        <v/>
      </c>
      <c r="M160" s="16" t="n"/>
      <c r="N160" s="15" t="n"/>
      <c r="O160" s="15" t="n"/>
    </row>
    <row r="161">
      <c r="A161" s="15" t="n"/>
      <c r="B161" s="16" t="n"/>
      <c r="C161" s="15" t="n"/>
      <c r="D161" s="17">
        <f>IF(C161="","",IFERROR(INDEX('Database Buyer'!$B$3:$B$247,MATCH(C161,'Database Buyer'!$A$3:$A$247,0)),"ID tidak ditemukan"))</f>
        <v/>
      </c>
      <c r="E161" s="17">
        <f>IF(C161="","",IFERROR(INDEX('Database Buyer'!$D$3:$D$247,MATCH(C161,'Database Buyer'!$A$3:$A$247,0)),""))</f>
        <v/>
      </c>
      <c r="F161" s="15" t="n"/>
      <c r="G161" s="15" t="n"/>
      <c r="H161" s="15" t="n"/>
      <c r="I161" s="18" t="n"/>
      <c r="J161" s="19" t="n"/>
      <c r="K161" s="20">
        <f>IF(OR(I161="",J161=""),"",I161*J161)</f>
        <v/>
      </c>
      <c r="L161" s="21">
        <f>IF(K161="","",K161*Panduan!$C$22)</f>
        <v/>
      </c>
      <c r="M161" s="16" t="n"/>
      <c r="N161" s="15" t="n"/>
      <c r="O161" s="15" t="n"/>
    </row>
    <row r="162">
      <c r="A162" s="15" t="n"/>
      <c r="B162" s="16" t="n"/>
      <c r="C162" s="15" t="n"/>
      <c r="D162" s="17">
        <f>IF(C162="","",IFERROR(INDEX('Database Buyer'!$B$3:$B$247,MATCH(C162,'Database Buyer'!$A$3:$A$247,0)),"ID tidak ditemukan"))</f>
        <v/>
      </c>
      <c r="E162" s="17">
        <f>IF(C162="","",IFERROR(INDEX('Database Buyer'!$D$3:$D$247,MATCH(C162,'Database Buyer'!$A$3:$A$247,0)),""))</f>
        <v/>
      </c>
      <c r="F162" s="15" t="n"/>
      <c r="G162" s="15" t="n"/>
      <c r="H162" s="15" t="n"/>
      <c r="I162" s="18" t="n"/>
      <c r="J162" s="19" t="n"/>
      <c r="K162" s="20">
        <f>IF(OR(I162="",J162=""),"",I162*J162)</f>
        <v/>
      </c>
      <c r="L162" s="21">
        <f>IF(K162="","",K162*Panduan!$C$22)</f>
        <v/>
      </c>
      <c r="M162" s="16" t="n"/>
      <c r="N162" s="15" t="n"/>
      <c r="O162" s="15" t="n"/>
    </row>
    <row r="163">
      <c r="A163" s="15" t="n"/>
      <c r="B163" s="16" t="n"/>
      <c r="C163" s="15" t="n"/>
      <c r="D163" s="17">
        <f>IF(C163="","",IFERROR(INDEX('Database Buyer'!$B$3:$B$247,MATCH(C163,'Database Buyer'!$A$3:$A$247,0)),"ID tidak ditemukan"))</f>
        <v/>
      </c>
      <c r="E163" s="17">
        <f>IF(C163="","",IFERROR(INDEX('Database Buyer'!$D$3:$D$247,MATCH(C163,'Database Buyer'!$A$3:$A$247,0)),""))</f>
        <v/>
      </c>
      <c r="F163" s="15" t="n"/>
      <c r="G163" s="15" t="n"/>
      <c r="H163" s="15" t="n"/>
      <c r="I163" s="18" t="n"/>
      <c r="J163" s="19" t="n"/>
      <c r="K163" s="20">
        <f>IF(OR(I163="",J163=""),"",I163*J163)</f>
        <v/>
      </c>
      <c r="L163" s="21">
        <f>IF(K163="","",K163*Panduan!$C$22)</f>
        <v/>
      </c>
      <c r="M163" s="16" t="n"/>
      <c r="N163" s="15" t="n"/>
      <c r="O163" s="15" t="n"/>
    </row>
    <row r="164">
      <c r="A164" s="15" t="n"/>
      <c r="B164" s="16" t="n"/>
      <c r="C164" s="15" t="n"/>
      <c r="D164" s="17">
        <f>IF(C164="","",IFERROR(INDEX('Database Buyer'!$B$3:$B$247,MATCH(C164,'Database Buyer'!$A$3:$A$247,0)),"ID tidak ditemukan"))</f>
        <v/>
      </c>
      <c r="E164" s="17">
        <f>IF(C164="","",IFERROR(INDEX('Database Buyer'!$D$3:$D$247,MATCH(C164,'Database Buyer'!$A$3:$A$247,0)),""))</f>
        <v/>
      </c>
      <c r="F164" s="15" t="n"/>
      <c r="G164" s="15" t="n"/>
      <c r="H164" s="15" t="n"/>
      <c r="I164" s="18" t="n"/>
      <c r="J164" s="19" t="n"/>
      <c r="K164" s="20">
        <f>IF(OR(I164="",J164=""),"",I164*J164)</f>
        <v/>
      </c>
      <c r="L164" s="21">
        <f>IF(K164="","",K164*Panduan!$C$22)</f>
        <v/>
      </c>
      <c r="M164" s="16" t="n"/>
      <c r="N164" s="15" t="n"/>
      <c r="O164" s="15" t="n"/>
    </row>
    <row r="165">
      <c r="A165" s="15" t="n"/>
      <c r="B165" s="16" t="n"/>
      <c r="C165" s="15" t="n"/>
      <c r="D165" s="17">
        <f>IF(C165="","",IFERROR(INDEX('Database Buyer'!$B$3:$B$247,MATCH(C165,'Database Buyer'!$A$3:$A$247,0)),"ID tidak ditemukan"))</f>
        <v/>
      </c>
      <c r="E165" s="17">
        <f>IF(C165="","",IFERROR(INDEX('Database Buyer'!$D$3:$D$247,MATCH(C165,'Database Buyer'!$A$3:$A$247,0)),""))</f>
        <v/>
      </c>
      <c r="F165" s="15" t="n"/>
      <c r="G165" s="15" t="n"/>
      <c r="H165" s="15" t="n"/>
      <c r="I165" s="18" t="n"/>
      <c r="J165" s="19" t="n"/>
      <c r="K165" s="20">
        <f>IF(OR(I165="",J165=""),"",I165*J165)</f>
        <v/>
      </c>
      <c r="L165" s="21">
        <f>IF(K165="","",K165*Panduan!$C$22)</f>
        <v/>
      </c>
      <c r="M165" s="16" t="n"/>
      <c r="N165" s="15" t="n"/>
      <c r="O165" s="15" t="n"/>
    </row>
    <row r="166">
      <c r="A166" s="15" t="n"/>
      <c r="B166" s="16" t="n"/>
      <c r="C166" s="15" t="n"/>
      <c r="D166" s="17">
        <f>IF(C166="","",IFERROR(INDEX('Database Buyer'!$B$3:$B$247,MATCH(C166,'Database Buyer'!$A$3:$A$247,0)),"ID tidak ditemukan"))</f>
        <v/>
      </c>
      <c r="E166" s="17">
        <f>IF(C166="","",IFERROR(INDEX('Database Buyer'!$D$3:$D$247,MATCH(C166,'Database Buyer'!$A$3:$A$247,0)),""))</f>
        <v/>
      </c>
      <c r="F166" s="15" t="n"/>
      <c r="G166" s="15" t="n"/>
      <c r="H166" s="15" t="n"/>
      <c r="I166" s="18" t="n"/>
      <c r="J166" s="19" t="n"/>
      <c r="K166" s="20">
        <f>IF(OR(I166="",J166=""),"",I166*J166)</f>
        <v/>
      </c>
      <c r="L166" s="21">
        <f>IF(K166="","",K166*Panduan!$C$22)</f>
        <v/>
      </c>
      <c r="M166" s="16" t="n"/>
      <c r="N166" s="15" t="n"/>
      <c r="O166" s="15" t="n"/>
    </row>
    <row r="167">
      <c r="A167" s="15" t="n"/>
      <c r="B167" s="16" t="n"/>
      <c r="C167" s="15" t="n"/>
      <c r="D167" s="17">
        <f>IF(C167="","",IFERROR(INDEX('Database Buyer'!$B$3:$B$247,MATCH(C167,'Database Buyer'!$A$3:$A$247,0)),"ID tidak ditemukan"))</f>
        <v/>
      </c>
      <c r="E167" s="17">
        <f>IF(C167="","",IFERROR(INDEX('Database Buyer'!$D$3:$D$247,MATCH(C167,'Database Buyer'!$A$3:$A$247,0)),""))</f>
        <v/>
      </c>
      <c r="F167" s="15" t="n"/>
      <c r="G167" s="15" t="n"/>
      <c r="H167" s="15" t="n"/>
      <c r="I167" s="18" t="n"/>
      <c r="J167" s="19" t="n"/>
      <c r="K167" s="20">
        <f>IF(OR(I167="",J167=""),"",I167*J167)</f>
        <v/>
      </c>
      <c r="L167" s="21">
        <f>IF(K167="","",K167*Panduan!$C$22)</f>
        <v/>
      </c>
      <c r="M167" s="16" t="n"/>
      <c r="N167" s="15" t="n"/>
      <c r="O167" s="15" t="n"/>
    </row>
    <row r="168">
      <c r="A168" s="15" t="n"/>
      <c r="B168" s="16" t="n"/>
      <c r="C168" s="15" t="n"/>
      <c r="D168" s="17">
        <f>IF(C168="","",IFERROR(INDEX('Database Buyer'!$B$3:$B$247,MATCH(C168,'Database Buyer'!$A$3:$A$247,0)),"ID tidak ditemukan"))</f>
        <v/>
      </c>
      <c r="E168" s="17">
        <f>IF(C168="","",IFERROR(INDEX('Database Buyer'!$D$3:$D$247,MATCH(C168,'Database Buyer'!$A$3:$A$247,0)),""))</f>
        <v/>
      </c>
      <c r="F168" s="15" t="n"/>
      <c r="G168" s="15" t="n"/>
      <c r="H168" s="15" t="n"/>
      <c r="I168" s="18" t="n"/>
      <c r="J168" s="19" t="n"/>
      <c r="K168" s="20">
        <f>IF(OR(I168="",J168=""),"",I168*J168)</f>
        <v/>
      </c>
      <c r="L168" s="21">
        <f>IF(K168="","",K168*Panduan!$C$22)</f>
        <v/>
      </c>
      <c r="M168" s="16" t="n"/>
      <c r="N168" s="15" t="n"/>
      <c r="O168" s="15" t="n"/>
    </row>
    <row r="169">
      <c r="A169" s="15" t="n"/>
      <c r="B169" s="16" t="n"/>
      <c r="C169" s="15" t="n"/>
      <c r="D169" s="17">
        <f>IF(C169="","",IFERROR(INDEX('Database Buyer'!$B$3:$B$247,MATCH(C169,'Database Buyer'!$A$3:$A$247,0)),"ID tidak ditemukan"))</f>
        <v/>
      </c>
      <c r="E169" s="17">
        <f>IF(C169="","",IFERROR(INDEX('Database Buyer'!$D$3:$D$247,MATCH(C169,'Database Buyer'!$A$3:$A$247,0)),""))</f>
        <v/>
      </c>
      <c r="F169" s="15" t="n"/>
      <c r="G169" s="15" t="n"/>
      <c r="H169" s="15" t="n"/>
      <c r="I169" s="18" t="n"/>
      <c r="J169" s="19" t="n"/>
      <c r="K169" s="20">
        <f>IF(OR(I169="",J169=""),"",I169*J169)</f>
        <v/>
      </c>
      <c r="L169" s="21">
        <f>IF(K169="","",K169*Panduan!$C$22)</f>
        <v/>
      </c>
      <c r="M169" s="16" t="n"/>
      <c r="N169" s="15" t="n"/>
      <c r="O169" s="15" t="n"/>
    </row>
    <row r="170">
      <c r="A170" s="15" t="n"/>
      <c r="B170" s="16" t="n"/>
      <c r="C170" s="15" t="n"/>
      <c r="D170" s="17">
        <f>IF(C170="","",IFERROR(INDEX('Database Buyer'!$B$3:$B$247,MATCH(C170,'Database Buyer'!$A$3:$A$247,0)),"ID tidak ditemukan"))</f>
        <v/>
      </c>
      <c r="E170" s="17">
        <f>IF(C170="","",IFERROR(INDEX('Database Buyer'!$D$3:$D$247,MATCH(C170,'Database Buyer'!$A$3:$A$247,0)),""))</f>
        <v/>
      </c>
      <c r="F170" s="15" t="n"/>
      <c r="G170" s="15" t="n"/>
      <c r="H170" s="15" t="n"/>
      <c r="I170" s="18" t="n"/>
      <c r="J170" s="19" t="n"/>
      <c r="K170" s="20">
        <f>IF(OR(I170="",J170=""),"",I170*J170)</f>
        <v/>
      </c>
      <c r="L170" s="21">
        <f>IF(K170="","",K170*Panduan!$C$22)</f>
        <v/>
      </c>
      <c r="M170" s="16" t="n"/>
      <c r="N170" s="15" t="n"/>
      <c r="O170" s="15" t="n"/>
    </row>
    <row r="171">
      <c r="A171" s="15" t="n"/>
      <c r="B171" s="16" t="n"/>
      <c r="C171" s="15" t="n"/>
      <c r="D171" s="17">
        <f>IF(C171="","",IFERROR(INDEX('Database Buyer'!$B$3:$B$247,MATCH(C171,'Database Buyer'!$A$3:$A$247,0)),"ID tidak ditemukan"))</f>
        <v/>
      </c>
      <c r="E171" s="17">
        <f>IF(C171="","",IFERROR(INDEX('Database Buyer'!$D$3:$D$247,MATCH(C171,'Database Buyer'!$A$3:$A$247,0)),""))</f>
        <v/>
      </c>
      <c r="F171" s="15" t="n"/>
      <c r="G171" s="15" t="n"/>
      <c r="H171" s="15" t="n"/>
      <c r="I171" s="18" t="n"/>
      <c r="J171" s="19" t="n"/>
      <c r="K171" s="20">
        <f>IF(OR(I171="",J171=""),"",I171*J171)</f>
        <v/>
      </c>
      <c r="L171" s="21">
        <f>IF(K171="","",K171*Panduan!$C$22)</f>
        <v/>
      </c>
      <c r="M171" s="16" t="n"/>
      <c r="N171" s="15" t="n"/>
      <c r="O171" s="15" t="n"/>
    </row>
    <row r="172">
      <c r="A172" s="15" t="n"/>
      <c r="B172" s="16" t="n"/>
      <c r="C172" s="15" t="n"/>
      <c r="D172" s="17">
        <f>IF(C172="","",IFERROR(INDEX('Database Buyer'!$B$3:$B$247,MATCH(C172,'Database Buyer'!$A$3:$A$247,0)),"ID tidak ditemukan"))</f>
        <v/>
      </c>
      <c r="E172" s="17">
        <f>IF(C172="","",IFERROR(INDEX('Database Buyer'!$D$3:$D$247,MATCH(C172,'Database Buyer'!$A$3:$A$247,0)),""))</f>
        <v/>
      </c>
      <c r="F172" s="15" t="n"/>
      <c r="G172" s="15" t="n"/>
      <c r="H172" s="15" t="n"/>
      <c r="I172" s="18" t="n"/>
      <c r="J172" s="19" t="n"/>
      <c r="K172" s="20">
        <f>IF(OR(I172="",J172=""),"",I172*J172)</f>
        <v/>
      </c>
      <c r="L172" s="21">
        <f>IF(K172="","",K172*Panduan!$C$22)</f>
        <v/>
      </c>
      <c r="M172" s="16" t="n"/>
      <c r="N172" s="15" t="n"/>
      <c r="O172" s="15" t="n"/>
    </row>
    <row r="173">
      <c r="A173" s="15" t="n"/>
      <c r="B173" s="16" t="n"/>
      <c r="C173" s="15" t="n"/>
      <c r="D173" s="17">
        <f>IF(C173="","",IFERROR(INDEX('Database Buyer'!$B$3:$B$247,MATCH(C173,'Database Buyer'!$A$3:$A$247,0)),"ID tidak ditemukan"))</f>
        <v/>
      </c>
      <c r="E173" s="17">
        <f>IF(C173="","",IFERROR(INDEX('Database Buyer'!$D$3:$D$247,MATCH(C173,'Database Buyer'!$A$3:$A$247,0)),""))</f>
        <v/>
      </c>
      <c r="F173" s="15" t="n"/>
      <c r="G173" s="15" t="n"/>
      <c r="H173" s="15" t="n"/>
      <c r="I173" s="18" t="n"/>
      <c r="J173" s="19" t="n"/>
      <c r="K173" s="20">
        <f>IF(OR(I173="",J173=""),"",I173*J173)</f>
        <v/>
      </c>
      <c r="L173" s="21">
        <f>IF(K173="","",K173*Panduan!$C$22)</f>
        <v/>
      </c>
      <c r="M173" s="16" t="n"/>
      <c r="N173" s="15" t="n"/>
      <c r="O173" s="15" t="n"/>
    </row>
    <row r="174">
      <c r="A174" s="15" t="n"/>
      <c r="B174" s="16" t="n"/>
      <c r="C174" s="15" t="n"/>
      <c r="D174" s="17">
        <f>IF(C174="","",IFERROR(INDEX('Database Buyer'!$B$3:$B$247,MATCH(C174,'Database Buyer'!$A$3:$A$247,0)),"ID tidak ditemukan"))</f>
        <v/>
      </c>
      <c r="E174" s="17">
        <f>IF(C174="","",IFERROR(INDEX('Database Buyer'!$D$3:$D$247,MATCH(C174,'Database Buyer'!$A$3:$A$247,0)),""))</f>
        <v/>
      </c>
      <c r="F174" s="15" t="n"/>
      <c r="G174" s="15" t="n"/>
      <c r="H174" s="15" t="n"/>
      <c r="I174" s="18" t="n"/>
      <c r="J174" s="19" t="n"/>
      <c r="K174" s="20">
        <f>IF(OR(I174="",J174=""),"",I174*J174)</f>
        <v/>
      </c>
      <c r="L174" s="21">
        <f>IF(K174="","",K174*Panduan!$C$22)</f>
        <v/>
      </c>
      <c r="M174" s="16" t="n"/>
      <c r="N174" s="15" t="n"/>
      <c r="O174" s="15" t="n"/>
    </row>
    <row r="175">
      <c r="A175" s="15" t="n"/>
      <c r="B175" s="16" t="n"/>
      <c r="C175" s="15" t="n"/>
      <c r="D175" s="17">
        <f>IF(C175="","",IFERROR(INDEX('Database Buyer'!$B$3:$B$247,MATCH(C175,'Database Buyer'!$A$3:$A$247,0)),"ID tidak ditemukan"))</f>
        <v/>
      </c>
      <c r="E175" s="17">
        <f>IF(C175="","",IFERROR(INDEX('Database Buyer'!$D$3:$D$247,MATCH(C175,'Database Buyer'!$A$3:$A$247,0)),""))</f>
        <v/>
      </c>
      <c r="F175" s="15" t="n"/>
      <c r="G175" s="15" t="n"/>
      <c r="H175" s="15" t="n"/>
      <c r="I175" s="18" t="n"/>
      <c r="J175" s="19" t="n"/>
      <c r="K175" s="20">
        <f>IF(OR(I175="",J175=""),"",I175*J175)</f>
        <v/>
      </c>
      <c r="L175" s="21">
        <f>IF(K175="","",K175*Panduan!$C$22)</f>
        <v/>
      </c>
      <c r="M175" s="16" t="n"/>
      <c r="N175" s="15" t="n"/>
      <c r="O175" s="15" t="n"/>
    </row>
    <row r="176">
      <c r="A176" s="15" t="n"/>
      <c r="B176" s="16" t="n"/>
      <c r="C176" s="15" t="n"/>
      <c r="D176" s="17">
        <f>IF(C176="","",IFERROR(INDEX('Database Buyer'!$B$3:$B$247,MATCH(C176,'Database Buyer'!$A$3:$A$247,0)),"ID tidak ditemukan"))</f>
        <v/>
      </c>
      <c r="E176" s="17">
        <f>IF(C176="","",IFERROR(INDEX('Database Buyer'!$D$3:$D$247,MATCH(C176,'Database Buyer'!$A$3:$A$247,0)),""))</f>
        <v/>
      </c>
      <c r="F176" s="15" t="n"/>
      <c r="G176" s="15" t="n"/>
      <c r="H176" s="15" t="n"/>
      <c r="I176" s="18" t="n"/>
      <c r="J176" s="19" t="n"/>
      <c r="K176" s="20">
        <f>IF(OR(I176="",J176=""),"",I176*J176)</f>
        <v/>
      </c>
      <c r="L176" s="21">
        <f>IF(K176="","",K176*Panduan!$C$22)</f>
        <v/>
      </c>
      <c r="M176" s="16" t="n"/>
      <c r="N176" s="15" t="n"/>
      <c r="O176" s="15" t="n"/>
    </row>
    <row r="177">
      <c r="A177" s="15" t="n"/>
      <c r="B177" s="16" t="n"/>
      <c r="C177" s="15" t="n"/>
      <c r="D177" s="17">
        <f>IF(C177="","",IFERROR(INDEX('Database Buyer'!$B$3:$B$247,MATCH(C177,'Database Buyer'!$A$3:$A$247,0)),"ID tidak ditemukan"))</f>
        <v/>
      </c>
      <c r="E177" s="17">
        <f>IF(C177="","",IFERROR(INDEX('Database Buyer'!$D$3:$D$247,MATCH(C177,'Database Buyer'!$A$3:$A$247,0)),""))</f>
        <v/>
      </c>
      <c r="F177" s="15" t="n"/>
      <c r="G177" s="15" t="n"/>
      <c r="H177" s="15" t="n"/>
      <c r="I177" s="18" t="n"/>
      <c r="J177" s="19" t="n"/>
      <c r="K177" s="20">
        <f>IF(OR(I177="",J177=""),"",I177*J177)</f>
        <v/>
      </c>
      <c r="L177" s="21">
        <f>IF(K177="","",K177*Panduan!$C$22)</f>
        <v/>
      </c>
      <c r="M177" s="16" t="n"/>
      <c r="N177" s="15" t="n"/>
      <c r="O177" s="15" t="n"/>
    </row>
    <row r="178">
      <c r="A178" s="15" t="n"/>
      <c r="B178" s="16" t="n"/>
      <c r="C178" s="15" t="n"/>
      <c r="D178" s="17">
        <f>IF(C178="","",IFERROR(INDEX('Database Buyer'!$B$3:$B$247,MATCH(C178,'Database Buyer'!$A$3:$A$247,0)),"ID tidak ditemukan"))</f>
        <v/>
      </c>
      <c r="E178" s="17">
        <f>IF(C178="","",IFERROR(INDEX('Database Buyer'!$D$3:$D$247,MATCH(C178,'Database Buyer'!$A$3:$A$247,0)),""))</f>
        <v/>
      </c>
      <c r="F178" s="15" t="n"/>
      <c r="G178" s="15" t="n"/>
      <c r="H178" s="15" t="n"/>
      <c r="I178" s="18" t="n"/>
      <c r="J178" s="19" t="n"/>
      <c r="K178" s="20">
        <f>IF(OR(I178="",J178=""),"",I178*J178)</f>
        <v/>
      </c>
      <c r="L178" s="21">
        <f>IF(K178="","",K178*Panduan!$C$22)</f>
        <v/>
      </c>
      <c r="M178" s="16" t="n"/>
      <c r="N178" s="15" t="n"/>
      <c r="O178" s="15" t="n"/>
    </row>
    <row r="179">
      <c r="A179" s="15" t="n"/>
      <c r="B179" s="16" t="n"/>
      <c r="C179" s="15" t="n"/>
      <c r="D179" s="17">
        <f>IF(C179="","",IFERROR(INDEX('Database Buyer'!$B$3:$B$247,MATCH(C179,'Database Buyer'!$A$3:$A$247,0)),"ID tidak ditemukan"))</f>
        <v/>
      </c>
      <c r="E179" s="17">
        <f>IF(C179="","",IFERROR(INDEX('Database Buyer'!$D$3:$D$247,MATCH(C179,'Database Buyer'!$A$3:$A$247,0)),""))</f>
        <v/>
      </c>
      <c r="F179" s="15" t="n"/>
      <c r="G179" s="15" t="n"/>
      <c r="H179" s="15" t="n"/>
      <c r="I179" s="18" t="n"/>
      <c r="J179" s="19" t="n"/>
      <c r="K179" s="20">
        <f>IF(OR(I179="",J179=""),"",I179*J179)</f>
        <v/>
      </c>
      <c r="L179" s="21">
        <f>IF(K179="","",K179*Panduan!$C$22)</f>
        <v/>
      </c>
      <c r="M179" s="16" t="n"/>
      <c r="N179" s="15" t="n"/>
      <c r="O179" s="15" t="n"/>
    </row>
    <row r="180">
      <c r="A180" s="15" t="n"/>
      <c r="B180" s="16" t="n"/>
      <c r="C180" s="15" t="n"/>
      <c r="D180" s="17">
        <f>IF(C180="","",IFERROR(INDEX('Database Buyer'!$B$3:$B$247,MATCH(C180,'Database Buyer'!$A$3:$A$247,0)),"ID tidak ditemukan"))</f>
        <v/>
      </c>
      <c r="E180" s="17">
        <f>IF(C180="","",IFERROR(INDEX('Database Buyer'!$D$3:$D$247,MATCH(C180,'Database Buyer'!$A$3:$A$247,0)),""))</f>
        <v/>
      </c>
      <c r="F180" s="15" t="n"/>
      <c r="G180" s="15" t="n"/>
      <c r="H180" s="15" t="n"/>
      <c r="I180" s="18" t="n"/>
      <c r="J180" s="19" t="n"/>
      <c r="K180" s="20">
        <f>IF(OR(I180="",J180=""),"",I180*J180)</f>
        <v/>
      </c>
      <c r="L180" s="21">
        <f>IF(K180="","",K180*Panduan!$C$22)</f>
        <v/>
      </c>
      <c r="M180" s="16" t="n"/>
      <c r="N180" s="15" t="n"/>
      <c r="O180" s="15" t="n"/>
    </row>
    <row r="181">
      <c r="A181" s="15" t="n"/>
      <c r="B181" s="16" t="n"/>
      <c r="C181" s="15" t="n"/>
      <c r="D181" s="17">
        <f>IF(C181="","",IFERROR(INDEX('Database Buyer'!$B$3:$B$247,MATCH(C181,'Database Buyer'!$A$3:$A$247,0)),"ID tidak ditemukan"))</f>
        <v/>
      </c>
      <c r="E181" s="17">
        <f>IF(C181="","",IFERROR(INDEX('Database Buyer'!$D$3:$D$247,MATCH(C181,'Database Buyer'!$A$3:$A$247,0)),""))</f>
        <v/>
      </c>
      <c r="F181" s="15" t="n"/>
      <c r="G181" s="15" t="n"/>
      <c r="H181" s="15" t="n"/>
      <c r="I181" s="18" t="n"/>
      <c r="J181" s="19" t="n"/>
      <c r="K181" s="20">
        <f>IF(OR(I181="",J181=""),"",I181*J181)</f>
        <v/>
      </c>
      <c r="L181" s="21">
        <f>IF(K181="","",K181*Panduan!$C$22)</f>
        <v/>
      </c>
      <c r="M181" s="16" t="n"/>
      <c r="N181" s="15" t="n"/>
      <c r="O181" s="15" t="n"/>
    </row>
    <row r="182">
      <c r="A182" s="15" t="n"/>
      <c r="B182" s="16" t="n"/>
      <c r="C182" s="15" t="n"/>
      <c r="D182" s="17">
        <f>IF(C182="","",IFERROR(INDEX('Database Buyer'!$B$3:$B$247,MATCH(C182,'Database Buyer'!$A$3:$A$247,0)),"ID tidak ditemukan"))</f>
        <v/>
      </c>
      <c r="E182" s="17">
        <f>IF(C182="","",IFERROR(INDEX('Database Buyer'!$D$3:$D$247,MATCH(C182,'Database Buyer'!$A$3:$A$247,0)),""))</f>
        <v/>
      </c>
      <c r="F182" s="15" t="n"/>
      <c r="G182" s="15" t="n"/>
      <c r="H182" s="15" t="n"/>
      <c r="I182" s="18" t="n"/>
      <c r="J182" s="19" t="n"/>
      <c r="K182" s="20">
        <f>IF(OR(I182="",J182=""),"",I182*J182)</f>
        <v/>
      </c>
      <c r="L182" s="21">
        <f>IF(K182="","",K182*Panduan!$C$22)</f>
        <v/>
      </c>
      <c r="M182" s="16" t="n"/>
      <c r="N182" s="15" t="n"/>
      <c r="O182" s="15" t="n"/>
    </row>
    <row r="183">
      <c r="A183" s="15" t="n"/>
      <c r="B183" s="16" t="n"/>
      <c r="C183" s="15" t="n"/>
      <c r="D183" s="17">
        <f>IF(C183="","",IFERROR(INDEX('Database Buyer'!$B$3:$B$247,MATCH(C183,'Database Buyer'!$A$3:$A$247,0)),"ID tidak ditemukan"))</f>
        <v/>
      </c>
      <c r="E183" s="17">
        <f>IF(C183="","",IFERROR(INDEX('Database Buyer'!$D$3:$D$247,MATCH(C183,'Database Buyer'!$A$3:$A$247,0)),""))</f>
        <v/>
      </c>
      <c r="F183" s="15" t="n"/>
      <c r="G183" s="15" t="n"/>
      <c r="H183" s="15" t="n"/>
      <c r="I183" s="18" t="n"/>
      <c r="J183" s="19" t="n"/>
      <c r="K183" s="20">
        <f>IF(OR(I183="",J183=""),"",I183*J183)</f>
        <v/>
      </c>
      <c r="L183" s="21">
        <f>IF(K183="","",K183*Panduan!$C$22)</f>
        <v/>
      </c>
      <c r="M183" s="16" t="n"/>
      <c r="N183" s="15" t="n"/>
      <c r="O183" s="15" t="n"/>
    </row>
    <row r="184">
      <c r="A184" s="15" t="n"/>
      <c r="B184" s="16" t="n"/>
      <c r="C184" s="15" t="n"/>
      <c r="D184" s="17">
        <f>IF(C184="","",IFERROR(INDEX('Database Buyer'!$B$3:$B$247,MATCH(C184,'Database Buyer'!$A$3:$A$247,0)),"ID tidak ditemukan"))</f>
        <v/>
      </c>
      <c r="E184" s="17">
        <f>IF(C184="","",IFERROR(INDEX('Database Buyer'!$D$3:$D$247,MATCH(C184,'Database Buyer'!$A$3:$A$247,0)),""))</f>
        <v/>
      </c>
      <c r="F184" s="15" t="n"/>
      <c r="G184" s="15" t="n"/>
      <c r="H184" s="15" t="n"/>
      <c r="I184" s="18" t="n"/>
      <c r="J184" s="19" t="n"/>
      <c r="K184" s="20">
        <f>IF(OR(I184="",J184=""),"",I184*J184)</f>
        <v/>
      </c>
      <c r="L184" s="21">
        <f>IF(K184="","",K184*Panduan!$C$22)</f>
        <v/>
      </c>
      <c r="M184" s="16" t="n"/>
      <c r="N184" s="15" t="n"/>
      <c r="O184" s="15" t="n"/>
    </row>
    <row r="185">
      <c r="A185" s="15" t="n"/>
      <c r="B185" s="16" t="n"/>
      <c r="C185" s="15" t="n"/>
      <c r="D185" s="17">
        <f>IF(C185="","",IFERROR(INDEX('Database Buyer'!$B$3:$B$247,MATCH(C185,'Database Buyer'!$A$3:$A$247,0)),"ID tidak ditemukan"))</f>
        <v/>
      </c>
      <c r="E185" s="17">
        <f>IF(C185="","",IFERROR(INDEX('Database Buyer'!$D$3:$D$247,MATCH(C185,'Database Buyer'!$A$3:$A$247,0)),""))</f>
        <v/>
      </c>
      <c r="F185" s="15" t="n"/>
      <c r="G185" s="15" t="n"/>
      <c r="H185" s="15" t="n"/>
      <c r="I185" s="18" t="n"/>
      <c r="J185" s="19" t="n"/>
      <c r="K185" s="20">
        <f>IF(OR(I185="",J185=""),"",I185*J185)</f>
        <v/>
      </c>
      <c r="L185" s="21">
        <f>IF(K185="","",K185*Panduan!$C$22)</f>
        <v/>
      </c>
      <c r="M185" s="16" t="n"/>
      <c r="N185" s="15" t="n"/>
      <c r="O185" s="15" t="n"/>
    </row>
    <row r="186">
      <c r="A186" s="15" t="n"/>
      <c r="B186" s="16" t="n"/>
      <c r="C186" s="15" t="n"/>
      <c r="D186" s="17">
        <f>IF(C186="","",IFERROR(INDEX('Database Buyer'!$B$3:$B$247,MATCH(C186,'Database Buyer'!$A$3:$A$247,0)),"ID tidak ditemukan"))</f>
        <v/>
      </c>
      <c r="E186" s="17">
        <f>IF(C186="","",IFERROR(INDEX('Database Buyer'!$D$3:$D$247,MATCH(C186,'Database Buyer'!$A$3:$A$247,0)),""))</f>
        <v/>
      </c>
      <c r="F186" s="15" t="n"/>
      <c r="G186" s="15" t="n"/>
      <c r="H186" s="15" t="n"/>
      <c r="I186" s="18" t="n"/>
      <c r="J186" s="19" t="n"/>
      <c r="K186" s="20">
        <f>IF(OR(I186="",J186=""),"",I186*J186)</f>
        <v/>
      </c>
      <c r="L186" s="21">
        <f>IF(K186="","",K186*Panduan!$C$22)</f>
        <v/>
      </c>
      <c r="M186" s="16" t="n"/>
      <c r="N186" s="15" t="n"/>
      <c r="O186" s="15" t="n"/>
    </row>
    <row r="187">
      <c r="A187" s="15" t="n"/>
      <c r="B187" s="16" t="n"/>
      <c r="C187" s="15" t="n"/>
      <c r="D187" s="17">
        <f>IF(C187="","",IFERROR(INDEX('Database Buyer'!$B$3:$B$247,MATCH(C187,'Database Buyer'!$A$3:$A$247,0)),"ID tidak ditemukan"))</f>
        <v/>
      </c>
      <c r="E187" s="17">
        <f>IF(C187="","",IFERROR(INDEX('Database Buyer'!$D$3:$D$247,MATCH(C187,'Database Buyer'!$A$3:$A$247,0)),""))</f>
        <v/>
      </c>
      <c r="F187" s="15" t="n"/>
      <c r="G187" s="15" t="n"/>
      <c r="H187" s="15" t="n"/>
      <c r="I187" s="18" t="n"/>
      <c r="J187" s="19" t="n"/>
      <c r="K187" s="20">
        <f>IF(OR(I187="",J187=""),"",I187*J187)</f>
        <v/>
      </c>
      <c r="L187" s="21">
        <f>IF(K187="","",K187*Panduan!$C$22)</f>
        <v/>
      </c>
      <c r="M187" s="16" t="n"/>
      <c r="N187" s="15" t="n"/>
      <c r="O187" s="15" t="n"/>
    </row>
    <row r="188">
      <c r="A188" s="15" t="n"/>
      <c r="B188" s="16" t="n"/>
      <c r="C188" s="15" t="n"/>
      <c r="D188" s="17">
        <f>IF(C188="","",IFERROR(INDEX('Database Buyer'!$B$3:$B$247,MATCH(C188,'Database Buyer'!$A$3:$A$247,0)),"ID tidak ditemukan"))</f>
        <v/>
      </c>
      <c r="E188" s="17">
        <f>IF(C188="","",IFERROR(INDEX('Database Buyer'!$D$3:$D$247,MATCH(C188,'Database Buyer'!$A$3:$A$247,0)),""))</f>
        <v/>
      </c>
      <c r="F188" s="15" t="n"/>
      <c r="G188" s="15" t="n"/>
      <c r="H188" s="15" t="n"/>
      <c r="I188" s="18" t="n"/>
      <c r="J188" s="19" t="n"/>
      <c r="K188" s="20">
        <f>IF(OR(I188="",J188=""),"",I188*J188)</f>
        <v/>
      </c>
      <c r="L188" s="21">
        <f>IF(K188="","",K188*Panduan!$C$22)</f>
        <v/>
      </c>
      <c r="M188" s="16" t="n"/>
      <c r="N188" s="15" t="n"/>
      <c r="O188" s="15" t="n"/>
    </row>
    <row r="189">
      <c r="A189" s="15" t="n"/>
      <c r="B189" s="16" t="n"/>
      <c r="C189" s="15" t="n"/>
      <c r="D189" s="17">
        <f>IF(C189="","",IFERROR(INDEX('Database Buyer'!$B$3:$B$247,MATCH(C189,'Database Buyer'!$A$3:$A$247,0)),"ID tidak ditemukan"))</f>
        <v/>
      </c>
      <c r="E189" s="17">
        <f>IF(C189="","",IFERROR(INDEX('Database Buyer'!$D$3:$D$247,MATCH(C189,'Database Buyer'!$A$3:$A$247,0)),""))</f>
        <v/>
      </c>
      <c r="F189" s="15" t="n"/>
      <c r="G189" s="15" t="n"/>
      <c r="H189" s="15" t="n"/>
      <c r="I189" s="18" t="n"/>
      <c r="J189" s="19" t="n"/>
      <c r="K189" s="20">
        <f>IF(OR(I189="",J189=""),"",I189*J189)</f>
        <v/>
      </c>
      <c r="L189" s="21">
        <f>IF(K189="","",K189*Panduan!$C$22)</f>
        <v/>
      </c>
      <c r="M189" s="16" t="n"/>
      <c r="N189" s="15" t="n"/>
      <c r="O189" s="15" t="n"/>
    </row>
    <row r="190">
      <c r="A190" s="15" t="n"/>
      <c r="B190" s="16" t="n"/>
      <c r="C190" s="15" t="n"/>
      <c r="D190" s="17">
        <f>IF(C190="","",IFERROR(INDEX('Database Buyer'!$B$3:$B$247,MATCH(C190,'Database Buyer'!$A$3:$A$247,0)),"ID tidak ditemukan"))</f>
        <v/>
      </c>
      <c r="E190" s="17">
        <f>IF(C190="","",IFERROR(INDEX('Database Buyer'!$D$3:$D$247,MATCH(C190,'Database Buyer'!$A$3:$A$247,0)),""))</f>
        <v/>
      </c>
      <c r="F190" s="15" t="n"/>
      <c r="G190" s="15" t="n"/>
      <c r="H190" s="15" t="n"/>
      <c r="I190" s="18" t="n"/>
      <c r="J190" s="19" t="n"/>
      <c r="K190" s="20">
        <f>IF(OR(I190="",J190=""),"",I190*J190)</f>
        <v/>
      </c>
      <c r="L190" s="21">
        <f>IF(K190="","",K190*Panduan!$C$22)</f>
        <v/>
      </c>
      <c r="M190" s="16" t="n"/>
      <c r="N190" s="15" t="n"/>
      <c r="O190" s="15" t="n"/>
    </row>
    <row r="191">
      <c r="A191" s="15" t="n"/>
      <c r="B191" s="16" t="n"/>
      <c r="C191" s="15" t="n"/>
      <c r="D191" s="17">
        <f>IF(C191="","",IFERROR(INDEX('Database Buyer'!$B$3:$B$247,MATCH(C191,'Database Buyer'!$A$3:$A$247,0)),"ID tidak ditemukan"))</f>
        <v/>
      </c>
      <c r="E191" s="17">
        <f>IF(C191="","",IFERROR(INDEX('Database Buyer'!$D$3:$D$247,MATCH(C191,'Database Buyer'!$A$3:$A$247,0)),""))</f>
        <v/>
      </c>
      <c r="F191" s="15" t="n"/>
      <c r="G191" s="15" t="n"/>
      <c r="H191" s="15" t="n"/>
      <c r="I191" s="18" t="n"/>
      <c r="J191" s="19" t="n"/>
      <c r="K191" s="20">
        <f>IF(OR(I191="",J191=""),"",I191*J191)</f>
        <v/>
      </c>
      <c r="L191" s="21">
        <f>IF(K191="","",K191*Panduan!$C$22)</f>
        <v/>
      </c>
      <c r="M191" s="16" t="n"/>
      <c r="N191" s="15" t="n"/>
      <c r="O191" s="15" t="n"/>
    </row>
    <row r="192">
      <c r="A192" s="15" t="n"/>
      <c r="B192" s="16" t="n"/>
      <c r="C192" s="15" t="n"/>
      <c r="D192" s="17">
        <f>IF(C192="","",IFERROR(INDEX('Database Buyer'!$B$3:$B$247,MATCH(C192,'Database Buyer'!$A$3:$A$247,0)),"ID tidak ditemukan"))</f>
        <v/>
      </c>
      <c r="E192" s="17">
        <f>IF(C192="","",IFERROR(INDEX('Database Buyer'!$D$3:$D$247,MATCH(C192,'Database Buyer'!$A$3:$A$247,0)),""))</f>
        <v/>
      </c>
      <c r="F192" s="15" t="n"/>
      <c r="G192" s="15" t="n"/>
      <c r="H192" s="15" t="n"/>
      <c r="I192" s="18" t="n"/>
      <c r="J192" s="19" t="n"/>
      <c r="K192" s="20">
        <f>IF(OR(I192="",J192=""),"",I192*J192)</f>
        <v/>
      </c>
      <c r="L192" s="21">
        <f>IF(K192="","",K192*Panduan!$C$22)</f>
        <v/>
      </c>
      <c r="M192" s="16" t="n"/>
      <c r="N192" s="15" t="n"/>
      <c r="O192" s="15" t="n"/>
    </row>
    <row r="193">
      <c r="A193" s="15" t="n"/>
      <c r="B193" s="16" t="n"/>
      <c r="C193" s="15" t="n"/>
      <c r="D193" s="17">
        <f>IF(C193="","",IFERROR(INDEX('Database Buyer'!$B$3:$B$247,MATCH(C193,'Database Buyer'!$A$3:$A$247,0)),"ID tidak ditemukan"))</f>
        <v/>
      </c>
      <c r="E193" s="17">
        <f>IF(C193="","",IFERROR(INDEX('Database Buyer'!$D$3:$D$247,MATCH(C193,'Database Buyer'!$A$3:$A$247,0)),""))</f>
        <v/>
      </c>
      <c r="F193" s="15" t="n"/>
      <c r="G193" s="15" t="n"/>
      <c r="H193" s="15" t="n"/>
      <c r="I193" s="18" t="n"/>
      <c r="J193" s="19" t="n"/>
      <c r="K193" s="20">
        <f>IF(OR(I193="",J193=""),"",I193*J193)</f>
        <v/>
      </c>
      <c r="L193" s="21">
        <f>IF(K193="","",K193*Panduan!$C$22)</f>
        <v/>
      </c>
      <c r="M193" s="16" t="n"/>
      <c r="N193" s="15" t="n"/>
      <c r="O193" s="15" t="n"/>
    </row>
    <row r="194">
      <c r="A194" s="15" t="n"/>
      <c r="B194" s="16" t="n"/>
      <c r="C194" s="15" t="n"/>
      <c r="D194" s="17">
        <f>IF(C194="","",IFERROR(INDEX('Database Buyer'!$B$3:$B$247,MATCH(C194,'Database Buyer'!$A$3:$A$247,0)),"ID tidak ditemukan"))</f>
        <v/>
      </c>
      <c r="E194" s="17">
        <f>IF(C194="","",IFERROR(INDEX('Database Buyer'!$D$3:$D$247,MATCH(C194,'Database Buyer'!$A$3:$A$247,0)),""))</f>
        <v/>
      </c>
      <c r="F194" s="15" t="n"/>
      <c r="G194" s="15" t="n"/>
      <c r="H194" s="15" t="n"/>
      <c r="I194" s="18" t="n"/>
      <c r="J194" s="19" t="n"/>
      <c r="K194" s="20">
        <f>IF(OR(I194="",J194=""),"",I194*J194)</f>
        <v/>
      </c>
      <c r="L194" s="21">
        <f>IF(K194="","",K194*Panduan!$C$22)</f>
        <v/>
      </c>
      <c r="M194" s="16" t="n"/>
      <c r="N194" s="15" t="n"/>
      <c r="O194" s="15" t="n"/>
    </row>
    <row r="195">
      <c r="A195" s="15" t="n"/>
      <c r="B195" s="16" t="n"/>
      <c r="C195" s="15" t="n"/>
      <c r="D195" s="17">
        <f>IF(C195="","",IFERROR(INDEX('Database Buyer'!$B$3:$B$247,MATCH(C195,'Database Buyer'!$A$3:$A$247,0)),"ID tidak ditemukan"))</f>
        <v/>
      </c>
      <c r="E195" s="17">
        <f>IF(C195="","",IFERROR(INDEX('Database Buyer'!$D$3:$D$247,MATCH(C195,'Database Buyer'!$A$3:$A$247,0)),""))</f>
        <v/>
      </c>
      <c r="F195" s="15" t="n"/>
      <c r="G195" s="15" t="n"/>
      <c r="H195" s="15" t="n"/>
      <c r="I195" s="18" t="n"/>
      <c r="J195" s="19" t="n"/>
      <c r="K195" s="20">
        <f>IF(OR(I195="",J195=""),"",I195*J195)</f>
        <v/>
      </c>
      <c r="L195" s="21">
        <f>IF(K195="","",K195*Panduan!$C$22)</f>
        <v/>
      </c>
      <c r="M195" s="16" t="n"/>
      <c r="N195" s="15" t="n"/>
      <c r="O195" s="15" t="n"/>
    </row>
    <row r="196">
      <c r="A196" s="15" t="n"/>
      <c r="B196" s="16" t="n"/>
      <c r="C196" s="15" t="n"/>
      <c r="D196" s="17">
        <f>IF(C196="","",IFERROR(INDEX('Database Buyer'!$B$3:$B$247,MATCH(C196,'Database Buyer'!$A$3:$A$247,0)),"ID tidak ditemukan"))</f>
        <v/>
      </c>
      <c r="E196" s="17">
        <f>IF(C196="","",IFERROR(INDEX('Database Buyer'!$D$3:$D$247,MATCH(C196,'Database Buyer'!$A$3:$A$247,0)),""))</f>
        <v/>
      </c>
      <c r="F196" s="15" t="n"/>
      <c r="G196" s="15" t="n"/>
      <c r="H196" s="15" t="n"/>
      <c r="I196" s="18" t="n"/>
      <c r="J196" s="19" t="n"/>
      <c r="K196" s="20">
        <f>IF(OR(I196="",J196=""),"",I196*J196)</f>
        <v/>
      </c>
      <c r="L196" s="21">
        <f>IF(K196="","",K196*Panduan!$C$22)</f>
        <v/>
      </c>
      <c r="M196" s="16" t="n"/>
      <c r="N196" s="15" t="n"/>
      <c r="O196" s="15" t="n"/>
    </row>
    <row r="197">
      <c r="A197" s="15" t="n"/>
      <c r="B197" s="16" t="n"/>
      <c r="C197" s="15" t="n"/>
      <c r="D197" s="17">
        <f>IF(C197="","",IFERROR(INDEX('Database Buyer'!$B$3:$B$247,MATCH(C197,'Database Buyer'!$A$3:$A$247,0)),"ID tidak ditemukan"))</f>
        <v/>
      </c>
      <c r="E197" s="17">
        <f>IF(C197="","",IFERROR(INDEX('Database Buyer'!$D$3:$D$247,MATCH(C197,'Database Buyer'!$A$3:$A$247,0)),""))</f>
        <v/>
      </c>
      <c r="F197" s="15" t="n"/>
      <c r="G197" s="15" t="n"/>
      <c r="H197" s="15" t="n"/>
      <c r="I197" s="18" t="n"/>
      <c r="J197" s="19" t="n"/>
      <c r="K197" s="20">
        <f>IF(OR(I197="",J197=""),"",I197*J197)</f>
        <v/>
      </c>
      <c r="L197" s="21">
        <f>IF(K197="","",K197*Panduan!$C$22)</f>
        <v/>
      </c>
      <c r="M197" s="16" t="n"/>
      <c r="N197" s="15" t="n"/>
      <c r="O197" s="15" t="n"/>
    </row>
    <row r="198">
      <c r="A198" s="15" t="n"/>
      <c r="B198" s="16" t="n"/>
      <c r="C198" s="15" t="n"/>
      <c r="D198" s="17">
        <f>IF(C198="","",IFERROR(INDEX('Database Buyer'!$B$3:$B$247,MATCH(C198,'Database Buyer'!$A$3:$A$247,0)),"ID tidak ditemukan"))</f>
        <v/>
      </c>
      <c r="E198" s="17">
        <f>IF(C198="","",IFERROR(INDEX('Database Buyer'!$D$3:$D$247,MATCH(C198,'Database Buyer'!$A$3:$A$247,0)),""))</f>
        <v/>
      </c>
      <c r="F198" s="15" t="n"/>
      <c r="G198" s="15" t="n"/>
      <c r="H198" s="15" t="n"/>
      <c r="I198" s="18" t="n"/>
      <c r="J198" s="19" t="n"/>
      <c r="K198" s="20">
        <f>IF(OR(I198="",J198=""),"",I198*J198)</f>
        <v/>
      </c>
      <c r="L198" s="21">
        <f>IF(K198="","",K198*Panduan!$C$22)</f>
        <v/>
      </c>
      <c r="M198" s="16" t="n"/>
      <c r="N198" s="15" t="n"/>
      <c r="O198" s="15" t="n"/>
    </row>
    <row r="199">
      <c r="A199" s="15" t="n"/>
      <c r="B199" s="16" t="n"/>
      <c r="C199" s="15" t="n"/>
      <c r="D199" s="17">
        <f>IF(C199="","",IFERROR(INDEX('Database Buyer'!$B$3:$B$247,MATCH(C199,'Database Buyer'!$A$3:$A$247,0)),"ID tidak ditemukan"))</f>
        <v/>
      </c>
      <c r="E199" s="17">
        <f>IF(C199="","",IFERROR(INDEX('Database Buyer'!$D$3:$D$247,MATCH(C199,'Database Buyer'!$A$3:$A$247,0)),""))</f>
        <v/>
      </c>
      <c r="F199" s="15" t="n"/>
      <c r="G199" s="15" t="n"/>
      <c r="H199" s="15" t="n"/>
      <c r="I199" s="18" t="n"/>
      <c r="J199" s="19" t="n"/>
      <c r="K199" s="20">
        <f>IF(OR(I199="",J199=""),"",I199*J199)</f>
        <v/>
      </c>
      <c r="L199" s="21">
        <f>IF(K199="","",K199*Panduan!$C$22)</f>
        <v/>
      </c>
      <c r="M199" s="16" t="n"/>
      <c r="N199" s="15" t="n"/>
      <c r="O199" s="15" t="n"/>
    </row>
    <row r="200">
      <c r="A200" s="15" t="n"/>
      <c r="B200" s="16" t="n"/>
      <c r="C200" s="15" t="n"/>
      <c r="D200" s="17">
        <f>IF(C200="","",IFERROR(INDEX('Database Buyer'!$B$3:$B$247,MATCH(C200,'Database Buyer'!$A$3:$A$247,0)),"ID tidak ditemukan"))</f>
        <v/>
      </c>
      <c r="E200" s="17">
        <f>IF(C200="","",IFERROR(INDEX('Database Buyer'!$D$3:$D$247,MATCH(C200,'Database Buyer'!$A$3:$A$247,0)),""))</f>
        <v/>
      </c>
      <c r="F200" s="15" t="n"/>
      <c r="G200" s="15" t="n"/>
      <c r="H200" s="15" t="n"/>
      <c r="I200" s="18" t="n"/>
      <c r="J200" s="19" t="n"/>
      <c r="K200" s="20">
        <f>IF(OR(I200="",J200=""),"",I200*J200)</f>
        <v/>
      </c>
      <c r="L200" s="21">
        <f>IF(K200="","",K200*Panduan!$C$22)</f>
        <v/>
      </c>
      <c r="M200" s="16" t="n"/>
      <c r="N200" s="15" t="n"/>
      <c r="O200" s="15" t="n"/>
    </row>
    <row r="201">
      <c r="A201" s="15" t="n"/>
      <c r="B201" s="16" t="n"/>
      <c r="C201" s="15" t="n"/>
      <c r="D201" s="17">
        <f>IF(C201="","",IFERROR(INDEX('Database Buyer'!$B$3:$B$247,MATCH(C201,'Database Buyer'!$A$3:$A$247,0)),"ID tidak ditemukan"))</f>
        <v/>
      </c>
      <c r="E201" s="17">
        <f>IF(C201="","",IFERROR(INDEX('Database Buyer'!$D$3:$D$247,MATCH(C201,'Database Buyer'!$A$3:$A$247,0)),""))</f>
        <v/>
      </c>
      <c r="F201" s="15" t="n"/>
      <c r="G201" s="15" t="n"/>
      <c r="H201" s="15" t="n"/>
      <c r="I201" s="18" t="n"/>
      <c r="J201" s="19" t="n"/>
      <c r="K201" s="20">
        <f>IF(OR(I201="",J201=""),"",I201*J201)</f>
        <v/>
      </c>
      <c r="L201" s="21">
        <f>IF(K201="","",K201*Panduan!$C$22)</f>
        <v/>
      </c>
      <c r="M201" s="16" t="n"/>
      <c r="N201" s="15" t="n"/>
      <c r="O201" s="15" t="n"/>
    </row>
    <row r="202">
      <c r="A202" s="15" t="n"/>
      <c r="B202" s="16" t="n"/>
      <c r="C202" s="15" t="n"/>
      <c r="D202" s="17">
        <f>IF(C202="","",IFERROR(INDEX('Database Buyer'!$B$3:$B$247,MATCH(C202,'Database Buyer'!$A$3:$A$247,0)),"ID tidak ditemukan"))</f>
        <v/>
      </c>
      <c r="E202" s="17">
        <f>IF(C202="","",IFERROR(INDEX('Database Buyer'!$D$3:$D$247,MATCH(C202,'Database Buyer'!$A$3:$A$247,0)),""))</f>
        <v/>
      </c>
      <c r="F202" s="15" t="n"/>
      <c r="G202" s="15" t="n"/>
      <c r="H202" s="15" t="n"/>
      <c r="I202" s="18" t="n"/>
      <c r="J202" s="19" t="n"/>
      <c r="K202" s="20">
        <f>IF(OR(I202="",J202=""),"",I202*J202)</f>
        <v/>
      </c>
      <c r="L202" s="21">
        <f>IF(K202="","",K202*Panduan!$C$22)</f>
        <v/>
      </c>
      <c r="M202" s="16" t="n"/>
      <c r="N202" s="15" t="n"/>
      <c r="O202" s="15" t="n"/>
    </row>
  </sheetData>
  <conditionalFormatting sqref="N3:N202">
    <cfRule type="cellIs" priority="1" operator="equal" dxfId="3">
      <formula>"Diterima"</formula>
    </cfRule>
    <cfRule type="cellIs" priority="2" operator="equal" dxfId="4">
      <formula>"Ditolak"</formula>
    </cfRule>
  </conditionalFormatting>
  <dataValidations count="4">
    <dataValidation sqref="F3:F202" showDropDown="0" showInputMessage="0" showErrorMessage="0" allowBlank="0" type="list">
      <formula1>"FOB,CFR,CIF,FCA,CPT,CIP,DAP"</formula1>
    </dataValidation>
    <dataValidation sqref="H3:H202" showDropDown="0" showInputMessage="0" showErrorMessage="0" allowBlank="0" type="list">
      <formula1>"Super,A,B,Mix"</formula1>
    </dataValidation>
    <dataValidation sqref="N3:N202" showDropDown="0" showInputMessage="0" showErrorMessage="0" allowBlank="0" type="list">
      <formula1>"Draft,Terkirim,Negosiasi,Diterima,Ditolak,Kedaluwarsa"</formula1>
    </dataValidation>
    <dataValidation sqref="C3:C202" showDropDown="0" showInputMessage="0" showErrorMessage="0" allowBlank="1" type="list">
      <formula1>='Database Buyer'!$A$3:$A$247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B2:J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1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6" customWidth="1" min="9" max="9"/>
    <col width="16" customWidth="1" min="10" max="10"/>
  </cols>
  <sheetData>
    <row r="2">
      <c r="B2" s="9" t="inlineStr">
        <is>
          <t>RINGKASAN</t>
        </is>
      </c>
    </row>
    <row r="4">
      <c r="B4" s="22" t="inlineStr">
        <is>
          <t>Negara</t>
        </is>
      </c>
      <c r="C4" s="22" t="inlineStr">
        <is>
          <t>Jml Buyer</t>
        </is>
      </c>
      <c r="D4" s="22" t="inlineStr">
        <is>
          <t>Prior. A</t>
        </is>
      </c>
      <c r="E4" s="22" t="inlineStr">
        <is>
          <t>Prior. B</t>
        </is>
      </c>
      <c r="F4" s="22" t="inlineStr">
        <is>
          <t>Prior. C</t>
        </is>
      </c>
      <c r="G4" s="22" t="inlineStr">
        <is>
          <t>Sudah Kontak</t>
        </is>
      </c>
      <c r="H4" s="22" t="inlineStr">
        <is>
          <t>Deal</t>
        </is>
      </c>
      <c r="I4" s="22" t="inlineStr">
        <is>
          <t>Penawaran (USD)</t>
        </is>
      </c>
      <c r="J4" s="22" t="inlineStr">
        <is>
          <t>Diterima (USD)</t>
        </is>
      </c>
    </row>
    <row r="5">
      <c r="B5" s="23" t="inlineStr">
        <is>
          <t>China</t>
        </is>
      </c>
      <c r="C5" s="24">
        <f>COUNTIF('Database Buyer'!$D$3:$D$247,B5)</f>
        <v/>
      </c>
      <c r="D5" s="24">
        <f>COUNTIFS('Database Buyer'!$D$3:$D$247,$B5,'Database Buyer'!$G$3:$G$247,"A")</f>
        <v/>
      </c>
      <c r="E5" s="24">
        <f>COUNTIFS('Database Buyer'!$D$3:$D$247,$B5,'Database Buyer'!$G$3:$G$247,"B")</f>
        <v/>
      </c>
      <c r="F5" s="24">
        <f>COUNTIFS('Database Buyer'!$D$3:$D$247,$B5,'Database Buyer'!$G$3:$G$247,"C")</f>
        <v/>
      </c>
      <c r="G5" s="24">
        <f>C5-COUNTIFS('Database Buyer'!$D$3:$D$247,$B5,'Database Buyer'!$N$3:$N$247,"Baru")</f>
        <v/>
      </c>
      <c r="H5" s="24">
        <f>COUNTIFS('Database Buyer'!$D$3:$D$247,$B5,'Database Buyer'!$N$3:$N$247,"Deal")</f>
        <v/>
      </c>
      <c r="I5" s="25">
        <f>SUMIFS(Penawaran!$K$3:$K$202,Penawaran!$E$3:$E$202,$B5)</f>
        <v/>
      </c>
      <c r="J5" s="25">
        <f>SUMIFS(Penawaran!$K$3:$K$202,Penawaran!$E$3:$E$202,$B5,Penawaran!$N$3:$N$202,"Diterima")</f>
        <v/>
      </c>
    </row>
    <row r="6">
      <c r="B6" s="23" t="inlineStr">
        <is>
          <t>Hong Kong</t>
        </is>
      </c>
      <c r="C6" s="24">
        <f>COUNTIF('Database Buyer'!$D$3:$D$247,B6)</f>
        <v/>
      </c>
      <c r="D6" s="24">
        <f>COUNTIFS('Database Buyer'!$D$3:$D$247,$B6,'Database Buyer'!$G$3:$G$247,"A")</f>
        <v/>
      </c>
      <c r="E6" s="24">
        <f>COUNTIFS('Database Buyer'!$D$3:$D$247,$B6,'Database Buyer'!$G$3:$G$247,"B")</f>
        <v/>
      </c>
      <c r="F6" s="24">
        <f>COUNTIFS('Database Buyer'!$D$3:$D$247,$B6,'Database Buyer'!$G$3:$G$247,"C")</f>
        <v/>
      </c>
      <c r="G6" s="24">
        <f>C6-COUNTIFS('Database Buyer'!$D$3:$D$247,$B6,'Database Buyer'!$N$3:$N$247,"Baru")</f>
        <v/>
      </c>
      <c r="H6" s="24">
        <f>COUNTIFS('Database Buyer'!$D$3:$D$247,$B6,'Database Buyer'!$N$3:$N$247,"Deal")</f>
        <v/>
      </c>
      <c r="I6" s="25">
        <f>SUMIFS(Penawaran!$K$3:$K$202,Penawaran!$E$3:$E$202,$B6)</f>
        <v/>
      </c>
      <c r="J6" s="25">
        <f>SUMIFS(Penawaran!$K$3:$K$202,Penawaran!$E$3:$E$202,$B6,Penawaran!$N$3:$N$202,"Diterima")</f>
        <v/>
      </c>
    </row>
    <row r="7">
      <c r="B7" s="23" t="inlineStr">
        <is>
          <t>UAE</t>
        </is>
      </c>
      <c r="C7" s="24">
        <f>COUNTIF('Database Buyer'!$D$3:$D$247,B7)</f>
        <v/>
      </c>
      <c r="D7" s="24">
        <f>COUNTIFS('Database Buyer'!$D$3:$D$247,$B7,'Database Buyer'!$G$3:$G$247,"A")</f>
        <v/>
      </c>
      <c r="E7" s="24">
        <f>COUNTIFS('Database Buyer'!$D$3:$D$247,$B7,'Database Buyer'!$G$3:$G$247,"B")</f>
        <v/>
      </c>
      <c r="F7" s="24">
        <f>COUNTIFS('Database Buyer'!$D$3:$D$247,$B7,'Database Buyer'!$G$3:$G$247,"C")</f>
        <v/>
      </c>
      <c r="G7" s="24">
        <f>C7-COUNTIFS('Database Buyer'!$D$3:$D$247,$B7,'Database Buyer'!$N$3:$N$247,"Baru")</f>
        <v/>
      </c>
      <c r="H7" s="24">
        <f>COUNTIFS('Database Buyer'!$D$3:$D$247,$B7,'Database Buyer'!$N$3:$N$247,"Deal")</f>
        <v/>
      </c>
      <c r="I7" s="25">
        <f>SUMIFS(Penawaran!$K$3:$K$202,Penawaran!$E$3:$E$202,$B7)</f>
        <v/>
      </c>
      <c r="J7" s="25">
        <f>SUMIFS(Penawaran!$K$3:$K$202,Penawaran!$E$3:$E$202,$B7,Penawaran!$N$3:$N$202,"Diterima")</f>
        <v/>
      </c>
    </row>
    <row r="8">
      <c r="B8" s="23" t="inlineStr">
        <is>
          <t>Saudi Arabia</t>
        </is>
      </c>
      <c r="C8" s="24">
        <f>COUNTIF('Database Buyer'!$D$3:$D$247,B8)</f>
        <v/>
      </c>
      <c r="D8" s="24">
        <f>COUNTIFS('Database Buyer'!$D$3:$D$247,$B8,'Database Buyer'!$G$3:$G$247,"A")</f>
        <v/>
      </c>
      <c r="E8" s="24">
        <f>COUNTIFS('Database Buyer'!$D$3:$D$247,$B8,'Database Buyer'!$G$3:$G$247,"B")</f>
        <v/>
      </c>
      <c r="F8" s="24">
        <f>COUNTIFS('Database Buyer'!$D$3:$D$247,$B8,'Database Buyer'!$G$3:$G$247,"C")</f>
        <v/>
      </c>
      <c r="G8" s="24">
        <f>C8-COUNTIFS('Database Buyer'!$D$3:$D$247,$B8,'Database Buyer'!$N$3:$N$247,"Baru")</f>
        <v/>
      </c>
      <c r="H8" s="24">
        <f>COUNTIFS('Database Buyer'!$D$3:$D$247,$B8,'Database Buyer'!$N$3:$N$247,"Deal")</f>
        <v/>
      </c>
      <c r="I8" s="25">
        <f>SUMIFS(Penawaran!$K$3:$K$202,Penawaran!$E$3:$E$202,$B8)</f>
        <v/>
      </c>
      <c r="J8" s="25">
        <f>SUMIFS(Penawaran!$K$3:$K$202,Penawaran!$E$3:$E$202,$B8,Penawaran!$N$3:$N$202,"Diterima")</f>
        <v/>
      </c>
    </row>
    <row r="9">
      <c r="B9" s="23" t="inlineStr">
        <is>
          <t>Qatar</t>
        </is>
      </c>
      <c r="C9" s="24">
        <f>COUNTIF('Database Buyer'!$D$3:$D$247,B9)</f>
        <v/>
      </c>
      <c r="D9" s="24">
        <f>COUNTIFS('Database Buyer'!$D$3:$D$247,$B9,'Database Buyer'!$G$3:$G$247,"A")</f>
        <v/>
      </c>
      <c r="E9" s="24">
        <f>COUNTIFS('Database Buyer'!$D$3:$D$247,$B9,'Database Buyer'!$G$3:$G$247,"B")</f>
        <v/>
      </c>
      <c r="F9" s="24">
        <f>COUNTIFS('Database Buyer'!$D$3:$D$247,$B9,'Database Buyer'!$G$3:$G$247,"C")</f>
        <v/>
      </c>
      <c r="G9" s="24">
        <f>C9-COUNTIFS('Database Buyer'!$D$3:$D$247,$B9,'Database Buyer'!$N$3:$N$247,"Baru")</f>
        <v/>
      </c>
      <c r="H9" s="24">
        <f>COUNTIFS('Database Buyer'!$D$3:$D$247,$B9,'Database Buyer'!$N$3:$N$247,"Deal")</f>
        <v/>
      </c>
      <c r="I9" s="25">
        <f>SUMIFS(Penawaran!$K$3:$K$202,Penawaran!$E$3:$E$202,$B9)</f>
        <v/>
      </c>
      <c r="J9" s="25">
        <f>SUMIFS(Penawaran!$K$3:$K$202,Penawaran!$E$3:$E$202,$B9,Penawaran!$N$3:$N$202,"Diterima")</f>
        <v/>
      </c>
    </row>
    <row r="10">
      <c r="B10" s="23" t="inlineStr">
        <is>
          <t>Kuwait</t>
        </is>
      </c>
      <c r="C10" s="24">
        <f>COUNTIF('Database Buyer'!$D$3:$D$247,B10)</f>
        <v/>
      </c>
      <c r="D10" s="24">
        <f>COUNTIFS('Database Buyer'!$D$3:$D$247,$B10,'Database Buyer'!$G$3:$G$247,"A")</f>
        <v/>
      </c>
      <c r="E10" s="24">
        <f>COUNTIFS('Database Buyer'!$D$3:$D$247,$B10,'Database Buyer'!$G$3:$G$247,"B")</f>
        <v/>
      </c>
      <c r="F10" s="24">
        <f>COUNTIFS('Database Buyer'!$D$3:$D$247,$B10,'Database Buyer'!$G$3:$G$247,"C")</f>
        <v/>
      </c>
      <c r="G10" s="24">
        <f>C10-COUNTIFS('Database Buyer'!$D$3:$D$247,$B10,'Database Buyer'!$N$3:$N$247,"Baru")</f>
        <v/>
      </c>
      <c r="H10" s="24">
        <f>COUNTIFS('Database Buyer'!$D$3:$D$247,$B10,'Database Buyer'!$N$3:$N$247,"Deal")</f>
        <v/>
      </c>
      <c r="I10" s="25">
        <f>SUMIFS(Penawaran!$K$3:$K$202,Penawaran!$E$3:$E$202,$B10)</f>
        <v/>
      </c>
      <c r="J10" s="25">
        <f>SUMIFS(Penawaran!$K$3:$K$202,Penawaran!$E$3:$E$202,$B10,Penawaran!$N$3:$N$202,"Diterima")</f>
        <v/>
      </c>
    </row>
    <row r="11">
      <c r="B11" s="23" t="inlineStr">
        <is>
          <t>Oman</t>
        </is>
      </c>
      <c r="C11" s="24">
        <f>COUNTIF('Database Buyer'!$D$3:$D$247,B11)</f>
        <v/>
      </c>
      <c r="D11" s="24">
        <f>COUNTIFS('Database Buyer'!$D$3:$D$247,$B11,'Database Buyer'!$G$3:$G$247,"A")</f>
        <v/>
      </c>
      <c r="E11" s="24">
        <f>COUNTIFS('Database Buyer'!$D$3:$D$247,$B11,'Database Buyer'!$G$3:$G$247,"B")</f>
        <v/>
      </c>
      <c r="F11" s="24">
        <f>COUNTIFS('Database Buyer'!$D$3:$D$247,$B11,'Database Buyer'!$G$3:$G$247,"C")</f>
        <v/>
      </c>
      <c r="G11" s="24">
        <f>C11-COUNTIFS('Database Buyer'!$D$3:$D$247,$B11,'Database Buyer'!$N$3:$N$247,"Baru")</f>
        <v/>
      </c>
      <c r="H11" s="24">
        <f>COUNTIFS('Database Buyer'!$D$3:$D$247,$B11,'Database Buyer'!$N$3:$N$247,"Deal")</f>
        <v/>
      </c>
      <c r="I11" s="25">
        <f>SUMIFS(Penawaran!$K$3:$K$202,Penawaran!$E$3:$E$202,$B11)</f>
        <v/>
      </c>
      <c r="J11" s="25">
        <f>SUMIFS(Penawaran!$K$3:$K$202,Penawaran!$E$3:$E$202,$B11,Penawaran!$N$3:$N$202,"Diterima")</f>
        <v/>
      </c>
    </row>
    <row r="12">
      <c r="B12" s="23" t="inlineStr">
        <is>
          <t>Bahrain</t>
        </is>
      </c>
      <c r="C12" s="24">
        <f>COUNTIF('Database Buyer'!$D$3:$D$247,B12)</f>
        <v/>
      </c>
      <c r="D12" s="24">
        <f>COUNTIFS('Database Buyer'!$D$3:$D$247,$B12,'Database Buyer'!$G$3:$G$247,"A")</f>
        <v/>
      </c>
      <c r="E12" s="24">
        <f>COUNTIFS('Database Buyer'!$D$3:$D$247,$B12,'Database Buyer'!$G$3:$G$247,"B")</f>
        <v/>
      </c>
      <c r="F12" s="24">
        <f>COUNTIFS('Database Buyer'!$D$3:$D$247,$B12,'Database Buyer'!$G$3:$G$247,"C")</f>
        <v/>
      </c>
      <c r="G12" s="24">
        <f>C12-COUNTIFS('Database Buyer'!$D$3:$D$247,$B12,'Database Buyer'!$N$3:$N$247,"Baru")</f>
        <v/>
      </c>
      <c r="H12" s="24">
        <f>COUNTIFS('Database Buyer'!$D$3:$D$247,$B12,'Database Buyer'!$N$3:$N$247,"Deal")</f>
        <v/>
      </c>
      <c r="I12" s="25">
        <f>SUMIFS(Penawaran!$K$3:$K$202,Penawaran!$E$3:$E$202,$B12)</f>
        <v/>
      </c>
      <c r="J12" s="25">
        <f>SUMIFS(Penawaran!$K$3:$K$202,Penawaran!$E$3:$E$202,$B12,Penawaran!$N$3:$N$202,"Diterima")</f>
        <v/>
      </c>
    </row>
    <row r="13">
      <c r="B13" s="26" t="inlineStr">
        <is>
          <t>TOTAL</t>
        </is>
      </c>
      <c r="C13" s="27">
        <f>SUM(C5:C12)</f>
        <v/>
      </c>
      <c r="D13" s="27">
        <f>SUM(D5:D12)</f>
        <v/>
      </c>
      <c r="E13" s="27">
        <f>SUM(E5:E12)</f>
        <v/>
      </c>
      <c r="F13" s="27">
        <f>SUM(F5:F12)</f>
        <v/>
      </c>
      <c r="G13" s="27">
        <f>SUM(G5:G12)</f>
        <v/>
      </c>
      <c r="H13" s="27">
        <f>SUM(H5:H12)</f>
        <v/>
      </c>
      <c r="I13" s="28">
        <f>SUM(I5:I12)</f>
        <v/>
      </c>
      <c r="J13" s="28">
        <f>SUM(J5:J12)</f>
        <v/>
      </c>
    </row>
    <row r="15">
      <c r="B15" s="29" t="inlineStr">
        <is>
          <t>Semua angka di sheet ini dihitung otomatis dari 'Database Buyer' dan 'Penawaran'.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0" customWidth="1" min="2" max="2"/>
    <col width="10" customWidth="1" min="3" max="3"/>
    <col width="55" customWidth="1" min="4" max="4"/>
  </cols>
  <sheetData>
    <row r="1">
      <c r="A1" s="9" t="inlineStr">
        <is>
          <t>CHECKLIST SYARAT EKSPOR MANGGIS SEGAR</t>
        </is>
      </c>
    </row>
    <row r="3">
      <c r="A3" s="30" t="inlineStr">
        <is>
          <t>Pasar</t>
        </is>
      </c>
      <c r="B3" s="30" t="inlineStr">
        <is>
          <t>Persyaratan</t>
        </is>
      </c>
      <c r="C3" s="30" t="inlineStr">
        <is>
          <t>Siap? ✓</t>
        </is>
      </c>
      <c r="D3" s="30" t="inlineStr">
        <is>
          <t>Sumber</t>
        </is>
      </c>
    </row>
    <row r="4">
      <c r="A4" s="4" t="inlineStr">
        <is>
          <t>China</t>
        </is>
      </c>
      <c r="B4" s="4" t="inlineStr">
        <is>
          <t>Protokol manggis RI–China (ditandatangani 11 Des 2017; ekspor perdana 18 Jan 2018)</t>
        </is>
      </c>
      <c r="C4" s="31" t="n"/>
      <c r="D4" s="32" t="inlineStr">
        <is>
          <t>https://pertanian.go.id/?act=view&amp;id=2513&amp;show=news</t>
        </is>
      </c>
    </row>
    <row r="5">
      <c r="A5" s="4" t="inlineStr">
        <is>
          <t>China</t>
        </is>
      </c>
      <c r="B5" s="4" t="inlineStr">
        <is>
          <t>Kebun terdaftar di Barantin &amp; tercantum di daftar GACC; terapkan SOP, GAP, IPM</t>
        </is>
      </c>
      <c r="C5" s="31" t="n"/>
      <c r="D5" s="32" t="inlineStr">
        <is>
          <t>https://www.tridge.com/market-guides/ID-mangosteen</t>
        </is>
      </c>
    </row>
    <row r="6">
      <c r="A6" s="4" t="inlineStr">
        <is>
          <t>China</t>
        </is>
      </c>
      <c r="B6" s="4" t="inlineStr">
        <is>
          <t>Packing house teregistrasi (OKKPD/Bapanas + Barantin) dan disetujui GACC; berlaku 5 tahun</t>
        </is>
      </c>
      <c r="C6" s="31" t="n"/>
      <c r="D6" s="32" t="inlineStr">
        <is>
          <t>https://badanpangan.go.id/blog/post/dorong-percepatan-persetujuan-protokol-ekspor-buah-di-tiongkok-nfa-lakukan-bilateral-meeting-dengan-gacc</t>
        </is>
      </c>
    </row>
    <row r="7">
      <c r="A7" s="4" t="inlineStr">
        <is>
          <t>China</t>
        </is>
      </c>
      <c r="B7" s="4" t="inlineStr">
        <is>
          <t>Siap audit GACC (termasuk audit virtual kebun &amp; packing house)</t>
        </is>
      </c>
      <c r="C7" s="31" t="n"/>
      <c r="D7" s="32" t="inlineStr">
        <is>
          <t>https://dpkp.jogjaprov.go.id/</t>
        </is>
      </c>
    </row>
    <row r="8">
      <c r="A8" s="4" t="inlineStr">
        <is>
          <t>China</t>
        </is>
      </c>
      <c r="B8" s="4" t="inlineStr">
        <is>
          <t>Phytosanitary Certificate Barantin tiap kiriman; sampling ≥2%; bebas lalat buah, kutu putih, kutu sisik, semut, tungau, tanah; batas residu pestisida</t>
        </is>
      </c>
      <c r="C8" s="31" t="n"/>
      <c r="D8" s="32" t="inlineStr">
        <is>
          <t>https://www.tridge.com/market-guides/ID-mangosteen</t>
        </is>
      </c>
    </row>
    <row r="9">
      <c r="A9" s="4" t="inlineStr">
        <is>
          <t>Hong Kong</t>
        </is>
      </c>
      <c r="B9" s="4" t="inlineStr">
        <is>
          <t>Pintu masuk utama: Pasar Buah Yau Ma Tei (±80% buah HK); banyak re-ekspor ke China</t>
        </is>
      </c>
      <c r="C9" s="31" t="n"/>
      <c r="D9" s="32" t="inlineStr">
        <is>
          <t>https://en.wikipedia.org/wiki/Yau_Ma_Tei_Fruit_Market</t>
        </is>
      </c>
    </row>
    <row r="10">
      <c r="A10" s="4" t="inlineStr">
        <is>
          <t>UAE</t>
        </is>
      </c>
      <c r="B10" s="4" t="inlineStr">
        <is>
          <t>Importir wajib punya izin impor MOCCAE sebelum kapal berangkat; data harus sama dengan Phytosanitary Certificate</t>
        </is>
      </c>
      <c r="C10" s="31" t="n"/>
      <c r="D10" s="32" t="inlineStr">
        <is>
          <t>https://www.moccae.gov.ae/en/services/import-permit</t>
        </is>
      </c>
    </row>
    <row r="11">
      <c r="A11" s="4" t="inlineStr">
        <is>
          <t>UAE</t>
        </is>
      </c>
      <c r="B11" s="4" t="inlineStr">
        <is>
          <t>Bebas OPT karantina &amp; residu pestisida sesuai batas UAE</t>
        </is>
      </c>
      <c r="C11" s="31" t="n"/>
      <c r="D11" s="32" t="inlineStr">
        <is>
          <t>https://site.moccae.gov.ae/en/services/export-import-services/release-of-agricultural-products-consignment.aspx</t>
        </is>
      </c>
    </row>
    <row r="12">
      <c r="A12" s="4" t="inlineStr">
        <is>
          <t>Saudi Arabia</t>
        </is>
      </c>
      <c r="B12" s="4" t="inlineStr">
        <is>
          <t>Importir: akun SFDA + registrasi produk + lisensi impor MEWA. Eksportir buah segar saat ini tidak wajib registrasi SFDA</t>
        </is>
      </c>
      <c r="C12" s="31" t="n"/>
      <c r="D12" s="32" t="inlineStr">
        <is>
          <t>https://www.sfda.gov.sa/sites/default/files/2021-08/GuideFreshFruitVegetableRegistrationLicensing.pdf</t>
        </is>
      </c>
    </row>
    <row r="13">
      <c r="A13" s="4" t="inlineStr">
        <is>
          <t>Saudi Arabia</t>
        </is>
      </c>
      <c r="B13" s="4" t="inlineStr">
        <is>
          <t>Dokumen: Phytosanitary Certificate, Invoice, Certificate of Origin, Packing List; standar SFDA.FD/GSO 123</t>
        </is>
      </c>
      <c r="C13" s="31" t="n"/>
      <c r="D13" s="32" t="inlineStr">
        <is>
          <t>https://www.intertek.com/siteassets/gts/saudi-arabia/sfa-eig-sfda-exporter-and-importer-guidelines-r09.pdf</t>
        </is>
      </c>
    </row>
    <row r="14">
      <c r="A14" s="4" t="inlineStr">
        <is>
          <t>GCC (umum)</t>
        </is>
      </c>
      <c r="B14" s="4" t="inlineStr">
        <is>
          <t>Sertifikat halal TIDAK wajib untuk buah segar, kecuali dilabeli 'Halal'</t>
        </is>
      </c>
      <c r="C14" s="31" t="n"/>
      <c r="D14" s="32" t="inlineStr">
        <is>
          <t>https://halalfoundation.org/halal-certification-for-export-to-uae-saudi-arabia-and-gcc-mena-countries/</t>
        </is>
      </c>
    </row>
    <row r="15">
      <c r="A15" s="4" t="inlineStr">
        <is>
          <t>Logistik</t>
        </is>
      </c>
      <c r="B15" s="4" t="inlineStr">
        <is>
          <t>Kemasan keranjang 7–7,5 kg, suhu ±7°C, daya simpan ±20 hari</t>
        </is>
      </c>
      <c r="C15" s="31" t="n"/>
      <c r="D15" s="32" t="inlineStr">
        <is>
          <t>https://www.owafresh.com/trusted-mangosteen-distributor-from-indonesia-for-export/</t>
        </is>
      </c>
    </row>
    <row r="16">
      <c r="A16" s="4" t="inlineStr">
        <is>
          <t>Pasar</t>
        </is>
      </c>
      <c r="B16" s="4" t="inlineStr">
        <is>
          <t>Thailand kuasai ±90% impor manggis China; Indonesia unggul harga &amp; musim (Okt–Mar, saat Thailand off-season)</t>
        </is>
      </c>
      <c r="C16" s="31" t="n"/>
      <c r="D16" s="32" t="inlineStr">
        <is>
          <t>https://www.freshplaza.com/asia/article/9449917/imports-of-mangosteen-doubled-in-the-first-half-of-the-year-and-more-than-90-came-from-thailand/</t>
        </is>
      </c>
    </row>
    <row r="17">
      <c r="A17" s="4" t="inlineStr">
        <is>
          <t>Pasar</t>
        </is>
      </c>
      <c r="B17" s="4" t="inlineStr">
        <is>
          <t>Impor GCC naik 6–8 minggu sebelum Ramadan</t>
        </is>
      </c>
      <c r="C17" s="31" t="n"/>
      <c r="D17" s="32" t="inlineStr">
        <is>
          <t>https://gulfbusiness.com/en/2026/logistics/dp-world-shows-ramadan-driven-spike-in-imports/</t>
        </is>
      </c>
    </row>
  </sheetData>
  <dataValidations count="1">
    <dataValidation sqref="C4:C17" showDropDown="0" showInputMessage="0" showErrorMessage="0" allowBlank="0" type="list">
      <formula1>"Ya,Belum,Proses"</formula1>
    </dataValidation>
  </dataValidations>
  <hyperlinks>
    <hyperlink xmlns:r="http://schemas.openxmlformats.org/officeDocument/2006/relationships" ref="D4" r:id="rId1"/>
    <hyperlink xmlns:r="http://schemas.openxmlformats.org/officeDocument/2006/relationships" ref="D5" r:id="rId2"/>
    <hyperlink xmlns:r="http://schemas.openxmlformats.org/officeDocument/2006/relationships" ref="D6" r:id="rId3"/>
    <hyperlink xmlns:r="http://schemas.openxmlformats.org/officeDocument/2006/relationships" ref="D7" r:id="rId4"/>
    <hyperlink xmlns:r="http://schemas.openxmlformats.org/officeDocument/2006/relationships" ref="D8" r:id="rId5"/>
    <hyperlink xmlns:r="http://schemas.openxmlformats.org/officeDocument/2006/relationships" ref="D9" r:id="rId6"/>
    <hyperlink xmlns:r="http://schemas.openxmlformats.org/officeDocument/2006/relationships" ref="D10" r:id="rId7"/>
    <hyperlink xmlns:r="http://schemas.openxmlformats.org/officeDocument/2006/relationships" ref="D11" r:id="rId8"/>
    <hyperlink xmlns:r="http://schemas.openxmlformats.org/officeDocument/2006/relationships" ref="D12" r:id="rId9"/>
    <hyperlink xmlns:r="http://schemas.openxmlformats.org/officeDocument/2006/relationships" ref="D13" r:id="rId10"/>
    <hyperlink xmlns:r="http://schemas.openxmlformats.org/officeDocument/2006/relationships" ref="D14" r:id="rId11"/>
    <hyperlink xmlns:r="http://schemas.openxmlformats.org/officeDocument/2006/relationships" ref="D15" r:id="rId12"/>
    <hyperlink xmlns:r="http://schemas.openxmlformats.org/officeDocument/2006/relationships" ref="D16" r:id="rId13"/>
    <hyperlink xmlns:r="http://schemas.openxmlformats.org/officeDocument/2006/relationships" ref="D17" r:id="rId14"/>
  </hyperlinks>
  <pageMargins left="0.75" right="0.75" top="1" bottom="1" header="0.5" footer="0.5"/>
  <tableParts count="1">
    <tablePart xmlns:r="http://schemas.openxmlformats.org/officeDocument/2006/relationships" r:id="rId15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2026-09-27T13:06:10Z</dcterms:created>
  <dcterms:modified xsi:type="dcterms:W3CDTF">2026-09-27T13:06:10Z</dcterms:modified>
</cp:coreProperties>
</file>