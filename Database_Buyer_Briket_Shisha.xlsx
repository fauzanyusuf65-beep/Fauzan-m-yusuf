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Override PartName="/xl/worksheets/sheet7.xml" ContentType="application/vnd.openxmlformats-officedocument.spreadsheetml.worksheet+xml"/>
  <Override PartName="/xl/tables/table4.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1" autoFilterDateGrouping="1"/>
  </bookViews>
  <sheets>
    <sheet xmlns:r="http://schemas.openxmlformats.org/officeDocument/2006/relationships" name="Panduan" sheetId="1" state="visible" r:id="rId1"/>
    <sheet xmlns:r="http://schemas.openxmlformats.org/officeDocument/2006/relationships" name="Database Buyer" sheetId="2" state="visible" r:id="rId2"/>
    <sheet xmlns:r="http://schemas.openxmlformats.org/officeDocument/2006/relationships" name="Sumber Lead" sheetId="3" state="visible" r:id="rId3"/>
    <sheet xmlns:r="http://schemas.openxmlformats.org/officeDocument/2006/relationships" name="Template Email" sheetId="4" state="visible" r:id="rId4"/>
    <sheet xmlns:r="http://schemas.openxmlformats.org/officeDocument/2006/relationships" name="Penawaran" sheetId="5" state="visible" r:id="rId5"/>
    <sheet xmlns:r="http://schemas.openxmlformats.org/officeDocument/2006/relationships" name="Ringkasan" sheetId="6" state="visible" r:id="rId6"/>
    <sheet xmlns:r="http://schemas.openxmlformats.org/officeDocument/2006/relationships" name="Syarat Ekspor" sheetId="7" state="visible" r:id="rId7"/>
  </sheets>
  <definedNames/>
  <calcPr calcId="124519" fullCalcOnLoad="1"/>
</workbook>
</file>

<file path=xl/styles.xml><?xml version="1.0" encoding="utf-8"?>
<styleSheet xmlns="http://schemas.openxmlformats.org/spreadsheetml/2006/main">
  <numFmts count="4">
    <numFmt numFmtId="164" formatCode="dd-mmm-yy"/>
    <numFmt numFmtId="165" formatCode="&quot;$&quot;#,##0"/>
    <numFmt numFmtId="166" formatCode="&quot;Rp&quot;#,##0"/>
    <numFmt numFmtId="167" formatCode="#,##0.0"/>
  </numFmts>
  <fonts count="11">
    <font>
      <name val="Calibri"/>
      <family val="2"/>
      <color theme="1"/>
      <sz val="11"/>
      <scheme val="minor"/>
    </font>
    <font>
      <name val="Arial"/>
      <b val="1"/>
      <color rgb="001F3864"/>
      <sz val="16"/>
    </font>
    <font>
      <name val="Arial"/>
      <color rgb="00595959"/>
      <sz val="10"/>
    </font>
    <font>
      <name val="Arial"/>
      <b val="1"/>
      <color rgb="001F3864"/>
      <sz val="11"/>
    </font>
    <font>
      <name val="Arial"/>
      <sz val="10"/>
    </font>
    <font>
      <name val="Arial"/>
      <b val="1"/>
      <sz val="10"/>
    </font>
    <font>
      <name val="Arial"/>
      <color rgb="000000FF"/>
      <sz val="10"/>
    </font>
    <font>
      <name val="Arial"/>
      <b val="1"/>
      <color rgb="001F3864"/>
      <sz val="14"/>
    </font>
    <font>
      <name val="Arial"/>
      <b val="1"/>
      <color rgb="00FFFFFF"/>
      <sz val="10"/>
    </font>
    <font>
      <name val="Arial"/>
      <color rgb="000563C1"/>
      <sz val="10"/>
      <u val="single"/>
    </font>
    <font>
      <name val="Arial"/>
      <b val="1"/>
      <color rgb="00C00000"/>
      <sz val="10"/>
    </font>
  </fonts>
  <fills count="4">
    <fill>
      <patternFill/>
    </fill>
    <fill>
      <patternFill patternType="gray125"/>
    </fill>
    <fill>
      <patternFill patternType="solid">
        <fgColor rgb="00FFF2CC"/>
      </patternFill>
    </fill>
    <fill>
      <patternFill patternType="solid">
        <fgColor rgb="001F3864"/>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30">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4" fillId="0" borderId="0" applyAlignment="1" pivotButton="0" quotePrefix="0" xfId="0">
      <alignment vertical="top" wrapText="1"/>
    </xf>
    <xf numFmtId="0" fontId="4" fillId="2" borderId="0" pivotButton="0" quotePrefix="0" xfId="0"/>
    <xf numFmtId="0" fontId="5" fillId="0" borderId="0" pivotButton="0" quotePrefix="0" xfId="0"/>
    <xf numFmtId="3" fontId="6" fillId="2" borderId="0" applyAlignment="1" pivotButton="0" quotePrefix="0" xfId="0">
      <alignment horizontal="left"/>
    </xf>
    <xf numFmtId="0" fontId="7" fillId="0" borderId="0" pivotButton="0" quotePrefix="0" xfId="0"/>
    <xf numFmtId="0" fontId="8" fillId="0" borderId="0" applyAlignment="1" pivotButton="0" quotePrefix="0" xfId="0">
      <alignment vertical="center" wrapText="1"/>
    </xf>
    <xf numFmtId="0" fontId="4" fillId="0" borderId="1" applyAlignment="1" pivotButton="0" quotePrefix="0" xfId="0">
      <alignment vertical="top" wrapText="1"/>
    </xf>
    <xf numFmtId="0" fontId="9" fillId="0" borderId="1" applyAlignment="1" pivotButton="0" quotePrefix="0" xfId="0">
      <alignment vertical="top" wrapText="1"/>
    </xf>
    <xf numFmtId="0" fontId="4" fillId="2" borderId="1" applyAlignment="1" pivotButton="0" quotePrefix="0" xfId="0">
      <alignment vertical="top" wrapText="1"/>
    </xf>
    <xf numFmtId="164" fontId="4" fillId="2" borderId="1" applyAlignment="1" pivotButton="0" quotePrefix="0" xfId="0">
      <alignment vertical="top" wrapText="1"/>
    </xf>
    <xf numFmtId="0" fontId="8" fillId="0" borderId="0" pivotButton="0" quotePrefix="0" xfId="0"/>
    <xf numFmtId="0" fontId="4" fillId="2" borderId="1" pivotButton="0" quotePrefix="0" xfId="0"/>
    <xf numFmtId="0" fontId="5" fillId="0" borderId="0" applyAlignment="1" pivotButton="0" quotePrefix="0" xfId="0">
      <alignment vertical="top" wrapText="1"/>
    </xf>
    <xf numFmtId="164" fontId="4" fillId="2" borderId="1" pivotButton="0" quotePrefix="0" xfId="0"/>
    <xf numFmtId="0" fontId="4" fillId="0" borderId="1" pivotButton="0" quotePrefix="0" xfId="0"/>
    <xf numFmtId="167" fontId="4" fillId="0" borderId="1" pivotButton="0" quotePrefix="0" xfId="0"/>
    <xf numFmtId="165" fontId="4" fillId="2" borderId="1" pivotButton="0" quotePrefix="0" xfId="0"/>
    <xf numFmtId="165" fontId="4" fillId="0" borderId="1" pivotButton="0" quotePrefix="0" xfId="0"/>
    <xf numFmtId="166" fontId="4" fillId="0" borderId="1" pivotButton="0" quotePrefix="0" xfId="0"/>
    <xf numFmtId="0" fontId="8" fillId="3" borderId="0" applyAlignment="1" pivotButton="0" quotePrefix="0" xfId="0">
      <alignment horizontal="center" wrapText="1"/>
    </xf>
    <xf numFmtId="0" fontId="4" fillId="0" borderId="1" applyAlignment="1" pivotButton="0" quotePrefix="0" xfId="0">
      <alignment horizontal="center"/>
    </xf>
    <xf numFmtId="0" fontId="5" fillId="0" borderId="1" pivotButton="0" quotePrefix="0" xfId="0"/>
    <xf numFmtId="0" fontId="5" fillId="0" borderId="1" applyAlignment="1" pivotButton="0" quotePrefix="0" xfId="0">
      <alignment horizontal="center"/>
    </xf>
    <xf numFmtId="165" fontId="5" fillId="0" borderId="1" pivotButton="0" quotePrefix="0" xfId="0"/>
    <xf numFmtId="0" fontId="10" fillId="0" borderId="0" pivotButton="0" quotePrefix="0" xfId="0"/>
  </cellXfs>
  <cellStyles count="1">
    <cellStyle name="Normal" xfId="0" builtinId="0" hidden="0"/>
  </cellStyles>
  <dxfs count="3">
    <dxf>
      <fill>
        <patternFill patternType="solid">
          <fgColor rgb="00F8CBAD"/>
        </patternFill>
      </fill>
    </dxf>
    <dxf>
      <fill>
        <patternFill patternType="solid">
          <fgColor rgb="00C6EFCE"/>
        </patternFill>
      </fill>
    </dxf>
    <dxf>
      <fill>
        <patternFill patternType="solid">
          <fgColor rgb="00EDEDED"/>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ables/table1.xml><?xml version="1.0" encoding="utf-8"?>
<table xmlns="http://schemas.openxmlformats.org/spreadsheetml/2006/main" id="1" name="tblBuyer" displayName="tblBuyer" ref="A2:P202" headerRowCount="1">
  <autoFilter ref="A2:P202"/>
  <tableColumns count="16">
    <tableColumn id="1" name="ID"/>
    <tableColumn id="2" name="Perusahaan"/>
    <tableColumn id="3" name="Negara"/>
    <tableColumn id="4" name="Kota"/>
    <tableColumn id="5" name="Tipe"/>
    <tableColumn id="6" name="Prioritas"/>
    <tableColumn id="7" name="Produk / Fokus"/>
    <tableColumn id="8" name="Website / Listing"/>
    <tableColumn id="9" name="PIC"/>
    <tableColumn id="10" name="Email"/>
    <tableColumn id="11" name="Telepon"/>
    <tableColumn id="12" name="Status"/>
    <tableColumn id="13" name="Follow-up Berikutnya"/>
    <tableColumn id="14" name="Relevansi (hasil riset)"/>
    <tableColumn id="15" name="Sumber"/>
    <tableColumn id="16" name="Catatan Anda"/>
  </tableColumns>
  <tableStyleInfo name="TableStyleMedium2" showRowStripes="1"/>
</table>
</file>

<file path=xl/tables/table2.xml><?xml version="1.0" encoding="utf-8"?>
<table xmlns="http://schemas.openxmlformats.org/spreadsheetml/2006/main" id="2" name="tblLead" displayName="tblLead" ref="A2:F14" headerRowCount="1">
  <autoFilter ref="A2:F14"/>
  <tableColumns count="6">
    <tableColumn id="1" name="Sumber"/>
    <tableColumn id="2" name="Jenis"/>
    <tableColumn id="3" name="Pasar"/>
    <tableColumn id="4" name="Temuan / Cara pakai"/>
    <tableColumn id="5" name="Link"/>
    <tableColumn id="6" name="Sudah Dicek?"/>
  </tableColumns>
  <tableStyleInfo name="TableStyleMedium2" showRowStripes="1"/>
</table>
</file>

<file path=xl/tables/table3.xml><?xml version="1.0" encoding="utf-8"?>
<table xmlns="http://schemas.openxmlformats.org/spreadsheetml/2006/main" id="3" name="tblPenawaran" displayName="tblPenawaran" ref="A2:P202" headerRowCount="1">
  <autoFilter ref="A2:P202"/>
  <tableColumns count="16">
    <tableColumn id="1" name="No. Penawaran"/>
    <tableColumn id="2" name="Tanggal"/>
    <tableColumn id="3" name="ID Buyer"/>
    <tableColumn id="4" name="Perusahaan"/>
    <tableColumn id="5" name="Negara"/>
    <tableColumn id="6" name="Incoterm"/>
    <tableColumn id="7" name="Pelabuhan Tujuan"/>
    <tableColumn id="8" name="Ukuran"/>
    <tableColumn id="9" name="Jml Kontainer 20ft"/>
    <tableColumn id="10" name="Volume (ton)"/>
    <tableColumn id="11" name="Harga (USD/ton)"/>
    <tableColumn id="12" name="Nilai (USD)"/>
    <tableColumn id="13" name="Nilai (IDR)"/>
    <tableColumn id="14" name="Berlaku s/d"/>
    <tableColumn id="15" name="Status"/>
    <tableColumn id="16" name="Catatan"/>
  </tableColumns>
  <tableStyleInfo name="TableStyleMedium2" showRowStripes="1"/>
</table>
</file>

<file path=xl/tables/table4.xml><?xml version="1.0" encoding="utf-8"?>
<table xmlns="http://schemas.openxmlformats.org/spreadsheetml/2006/main" id="4" name="tblSyarat" displayName="tblSyarat" ref="A3:D13" headerRowCount="1">
  <autoFilter ref="A3:D13"/>
  <tableColumns count="4">
    <tableColumn id="1" name="Tahap"/>
    <tableColumn id="2" name="Persyaratan"/>
    <tableColumn id="3" name="Keterangan"/>
    <tableColumn id="4" name="Siap? ✓"/>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alsultancoal.com/" TargetMode="External" Id="rId1"/><Relationship Type="http://schemas.openxmlformats.org/officeDocument/2006/relationships/hyperlink" Target="https://alsultancoal.com/best-coconut-charcoal-dubai/" TargetMode="External" Id="rId2"/><Relationship Type="http://schemas.openxmlformats.org/officeDocument/2006/relationships/hyperlink" Target="https://soex.com/" TargetMode="External" Id="rId3"/><Relationship Type="http://schemas.openxmlformats.org/officeDocument/2006/relationships/hyperlink" Target="https://soex.com/afzal-wholesale-supplier-distributor-of-shisha-flavors-in-united-arab-emirates/" TargetMode="External" Id="rId4"/><Relationship Type="http://schemas.openxmlformats.org/officeDocument/2006/relationships/hyperlink" Target="https://alfakher.com/" TargetMode="External" Id="rId5"/><Relationship Type="http://schemas.openxmlformats.org/officeDocument/2006/relationships/hyperlink" Target="https://hookah.com/c/hookah-charcoal" TargetMode="External" Id="rId6"/><Relationship Type="http://schemas.openxmlformats.org/officeDocument/2006/relationships/hyperlink" Target="https://www.go4worldbusiness.com/suppliers/united-arab-emirates/charcoal.html" TargetMode="External" Id="rId7"/><Relationship Type="http://schemas.openxmlformats.org/officeDocument/2006/relationships/hyperlink" Target="https://www.go4worldbusiness.com/suppliers/united-arab-emirates/charcoal.html" TargetMode="External" Id="rId8"/><Relationship Type="http://schemas.openxmlformats.org/officeDocument/2006/relationships/hyperlink" Target="https://www.go4worldbusiness.com/suppliers/united-arab-emirates/charcoal.html" TargetMode="External" Id="rId9"/><Relationship Type="http://schemas.openxmlformats.org/officeDocument/2006/relationships/hyperlink" Target="https://www.go4worldbusiness.com/suppliers/united-arab-emirates/charcoal.html" TargetMode="External" Id="rId10"/><Relationship Type="http://schemas.openxmlformats.org/officeDocument/2006/relationships/hyperlink" Target="https://www.go4worldbusiness.com/suppliers/united-arab-emirates/dubai/wood-charcoal.html" TargetMode="External" Id="rId11"/><Relationship Type="http://schemas.openxmlformats.org/officeDocument/2006/relationships/hyperlink" Target="https://www.go4worldbusiness.com/suppliers/united-arab-emirates/dubai/wood-charcoal.html" TargetMode="External" Id="rId12"/><Relationship Type="http://schemas.openxmlformats.org/officeDocument/2006/relationships/hyperlink" Target="https://www.go4worldbusiness.com/suppliers/united-arab-emirates/dubai/wood-charcoal.html" TargetMode="External" Id="rId13"/><Relationship Type="http://schemas.openxmlformats.org/officeDocument/2006/relationships/hyperlink" Target="https://www.go4worldbusiness.com/suppliers/united-arab-emirates/dubai/wood-charcoal.html" TargetMode="External" Id="rId14"/><Relationship Type="http://schemas.openxmlformats.org/officeDocument/2006/relationships/hyperlink" Target="https://shambuy.sa/en/charcoal-wholesale/c717263282" TargetMode="External" Id="rId15"/><Relationship Type="http://schemas.openxmlformats.org/officeDocument/2006/relationships/hyperlink" Target="https://shambuy.sa/en/charcoal-wholesale/c717263282" TargetMode="External" Id="rId16"/><Relationship Type="http://schemas.openxmlformats.org/officeDocument/2006/relationships/hyperlink" Target="https://www.go4worldbusiness.com/suppliers/jordan/charcoal.html" TargetMode="External" Id="rId17"/><Relationship Type="http://schemas.openxmlformats.org/officeDocument/2006/relationships/hyperlink" Target="https://www.go4worldbusiness.com/suppliers/jordan/charcoal.html" TargetMode="External" Id="rId18"/><Relationship Type="http://schemas.openxmlformats.org/officeDocument/2006/relationships/hyperlink" Target="https://www.go4worldbusiness.com/member/view/3071365/jordanian-company-for-natural-coal-manufacturing.html" TargetMode="External" Id="rId19"/><Relationship Type="http://schemas.openxmlformats.org/officeDocument/2006/relationships/hyperlink" Target="https://www.go4worldbusiness.com/member/view/3071365/jordanian-company-for-natural-coal-manufacturing.html" TargetMode="External" Id="rId20"/><Relationship Type="http://schemas.openxmlformats.org/officeDocument/2006/relationships/hyperlink" Target="https://www.go4worldbusiness.com/suppliers/jordan/charcoal.html" TargetMode="External" Id="rId21"/><Relationship Type="http://schemas.openxmlformats.org/officeDocument/2006/relationships/hyperlink" Target="https://www.go4worldbusiness.com/suppliers/jordan/charcoal.html" TargetMode="External" Id="rId22"/><Relationship Type="http://schemas.openxmlformats.org/officeDocument/2006/relationships/hyperlink" Target="https://importer.tradekey.com/lebanon/hookah-charcoal.htm" TargetMode="External" Id="rId23"/><Relationship Type="http://schemas.openxmlformats.org/officeDocument/2006/relationships/hyperlink" Target="https://importer.tradekey.com/lebanon/hookah-charcoal.htm" TargetMode="External" Id="rId24"/><Relationship Type="http://schemas.openxmlformats.org/officeDocument/2006/relationships/hyperlink" Target="https://www.volza.com/p/charcoal-briquettes/buyers/buyers-in-egypt/" TargetMode="External" Id="rId25"/><Relationship Type="http://schemas.openxmlformats.org/officeDocument/2006/relationships/hyperlink" Target="https://www.volza.com/p/charcoal-briquettes/buyers/buyers-in-egypt/" TargetMode="External" Id="rId26"/><Relationship Type="http://schemas.openxmlformats.org/officeDocument/2006/relationships/hyperlink" Target="https://www.volza.com/p/charcoal-briquettes/buyers/buyers-in-egypt/" TargetMode="External" Id="rId27"/><Relationship Type="http://schemas.openxmlformats.org/officeDocument/2006/relationships/hyperlink" Target="https://www.volza.com/p/charcoal-briquettes/buyers/buyers-in-egypt/" TargetMode="External" Id="rId28"/><Relationship Type="http://schemas.openxmlformats.org/officeDocument/2006/relationships/hyperlink" Target="https://www.volza.com/p/charcoal-briquettes/buyers/buyers-in-egypt/" TargetMode="External" Id="rId29"/><Relationship Type="http://schemas.openxmlformats.org/officeDocument/2006/relationships/hyperlink" Target="https://www.volza.com/p/charcoal-briquettes/buyers/buyers-in-egypt/" TargetMode="External" Id="rId30"/><Relationship Type="http://schemas.openxmlformats.org/officeDocument/2006/relationships/hyperlink" Target="https://www.go4worldbusiness.com/buyers/egypt/coconut-shell-charcoal.html" TargetMode="External" Id="rId31"/><Relationship Type="http://schemas.openxmlformats.org/officeDocument/2006/relationships/hyperlink" Target="https://www.go4worldbusiness.com/buyers/egypt/coconut-shell-charcoal.html" TargetMode="External" Id="rId32"/><Relationship Type="http://schemas.openxmlformats.org/officeDocument/2006/relationships/hyperlink" Target="https://www.go4worldbusiness.com/suppliers/egypt/coconut-shell-charcoal.html" TargetMode="External" Id="rId33"/><Relationship Type="http://schemas.openxmlformats.org/officeDocument/2006/relationships/hyperlink" Target="https://www.go4worldbusiness.com/suppliers/egypt/coconut-shell-charcoal.html" TargetMode="External" Id="rId34"/><Relationship Type="http://schemas.openxmlformats.org/officeDocument/2006/relationships/table" Target="/xl/tables/table1.xml" Id="rId35"/></Relationships>
</file>

<file path=xl/worksheets/_rels/sheet3.xml.rels><Relationships xmlns="http://schemas.openxmlformats.org/package/2006/relationships"><Relationship Type="http://schemas.openxmlformats.org/officeDocument/2006/relationships/hyperlink" Target="https://www.tradewheel.com/buyers/shisha-charcoal/saudi-arabia/" TargetMode="External" Id="rId1"/><Relationship Type="http://schemas.openxmlformats.org/officeDocument/2006/relationships/hyperlink" Target="https://www.exporthub.com/iraq/charcoal-importers/" TargetMode="External" Id="rId2"/><Relationship Type="http://schemas.openxmlformats.org/officeDocument/2006/relationships/hyperlink" Target="https://www.exporthub.com/importers/hookah-coconut-shell-charcoal/" TargetMode="External" Id="rId3"/><Relationship Type="http://schemas.openxmlformats.org/officeDocument/2006/relationships/hyperlink" Target="https://www.go4worldbusiness.com/buyers/iraq/charcoal.html" TargetMode="External" Id="rId4"/><Relationship Type="http://schemas.openxmlformats.org/officeDocument/2006/relationships/hyperlink" Target="https://www.go4worldbusiness.com/buyers/jordan/charcoal-briquettes.html" TargetMode="External" Id="rId5"/><Relationship Type="http://schemas.openxmlformats.org/officeDocument/2006/relationships/hyperlink" Target="https://importer.tradekey.com/lebanon/hookah-charcoal.htm" TargetMode="External" Id="rId6"/><Relationship Type="http://schemas.openxmlformats.org/officeDocument/2006/relationships/hyperlink" Target="https://importer.ec21.com/LB/Charcoal--1101.html?isGroupList=N" TargetMode="External" Id="rId7"/><Relationship Type="http://schemas.openxmlformats.org/officeDocument/2006/relationships/hyperlink" Target="https://www.volza.com/p/charcoal-briquettes/buyers/buyers-in-egypt/" TargetMode="External" Id="rId8"/><Relationship Type="http://schemas.openxmlformats.org/officeDocument/2006/relationships/hyperlink" Target="https://www.haranresources.com/charcoal.html" TargetMode="External" Id="rId9"/><Relationship Type="http://schemas.openxmlformats.org/officeDocument/2006/relationships/hyperlink" Target="https://inaexport.id/" TargetMode="External" Id="rId10"/><Relationship Type="http://schemas.openxmlformats.org/officeDocument/2006/relationships/hyperlink" Target="https://inaexport.id/" TargetMode="External" Id="rId11"/><Relationship Type="http://schemas.openxmlformats.org/officeDocument/2006/relationships/hyperlink" Target="https://tradeexpoindonesia.com/" TargetMode="External" Id="rId12"/><Relationship Type="http://schemas.openxmlformats.org/officeDocument/2006/relationships/table" Target="/xl/tables/table2.xml" Id="rId13"/></Relationships>
</file>

<file path=xl/worksheets/_rels/sheet5.xml.rels><Relationships xmlns="http://schemas.openxmlformats.org/package/2006/relationships"><Relationship Type="http://schemas.openxmlformats.org/officeDocument/2006/relationships/table" Target="/xl/tables/table3.xml" Id="rId1"/></Relationships>
</file>

<file path=xl/worksheets/_rels/sheet7.xml.rels><Relationships xmlns="http://schemas.openxmlformats.org/package/2006/relationships"><Relationship Type="http://schemas.openxmlformats.org/officeDocument/2006/relationships/table" Target="/xl/tables/table4.xml" Id="rId1"/></Relationships>
</file>

<file path=xl/worksheets/sheet1.xml><?xml version="1.0" encoding="utf-8"?>
<worksheet xmlns="http://schemas.openxmlformats.org/spreadsheetml/2006/main">
  <sheetPr>
    <tabColor rgb="001F3864"/>
    <outlinePr summaryBelow="1" summaryRight="1"/>
    <pageSetUpPr/>
  </sheetPr>
  <dimension ref="B2:C31"/>
  <sheetViews>
    <sheetView showGridLines="0" workbookViewId="0">
      <selection activeCell="A1" sqref="A1"/>
    </sheetView>
  </sheetViews>
  <sheetFormatPr baseColWidth="8" defaultRowHeight="15"/>
  <cols>
    <col width="3" customWidth="1" min="1" max="1"/>
    <col width="28" customWidth="1" min="2" max="2"/>
    <col width="95" customWidth="1" min="3" max="3"/>
  </cols>
  <sheetData>
    <row r="2">
      <c r="B2" s="1" t="inlineStr">
        <is>
          <t>Database Buyer Briket Shisha (Tempurung Kelapa): Timur Tengah</t>
        </is>
      </c>
    </row>
    <row r="3">
      <c r="B3" s="2" t="inlineStr">
        <is>
          <t>Disusun 15 Okt 2026 dari sumber publik. Tiap baris punya link sumber. Verifikasi buyer sebelum mengirim harga atau sampel.</t>
        </is>
      </c>
    </row>
    <row r="5">
      <c r="B5" s="3" t="inlineStr">
        <is>
          <t>CARA PAKAI</t>
        </is>
      </c>
    </row>
    <row r="6">
      <c r="B6" s="4" t="inlineStr">
        <is>
          <t>1. Database Buyer</t>
        </is>
      </c>
      <c r="C6" s="5" t="inlineStr">
        <is>
          <t>Daftar calon buyer. Isi kolom kuning (PIC, Email, Telepon, Status, Follow-up, Catatan) setelah Anda cek website atau listing-nya.</t>
        </is>
      </c>
    </row>
    <row r="7">
      <c r="B7" s="4" t="inlineStr">
        <is>
          <t>2. Sumber Lead</t>
        </is>
      </c>
      <c r="C7" s="5" t="inlineStr">
        <is>
          <t>Platform B2B, data impor, dan jalur pemerintah untuk menambah buyer baru. Buyer baru tinggal ditambahkan di baris kosong Database Buyer.</t>
        </is>
      </c>
    </row>
    <row r="8">
      <c r="B8" s="4" t="inlineStr">
        <is>
          <t>3. Template Email</t>
        </is>
      </c>
      <c r="C8" s="5" t="inlineStr">
        <is>
          <t>Draft email/WhatsApp penawaran dalam bahasa Inggris. Ganti teks [DALAM KURUNG] dengan data Anda.</t>
        </is>
      </c>
    </row>
    <row r="9">
      <c r="B9" s="4" t="inlineStr">
        <is>
          <t>4. Penawaran</t>
        </is>
      </c>
      <c r="C9" s="5" t="inlineStr">
        <is>
          <t>Log quotation. Ketik ID Buyer, lalu nama dan negara terisi otomatis. Nilai USD &amp; IDR dihitung rumus.</t>
        </is>
      </c>
    </row>
    <row r="10">
      <c r="B10" s="4" t="inlineStr">
        <is>
          <t>5. Ringkasan</t>
        </is>
      </c>
      <c r="C10" s="5" t="inlineStr">
        <is>
          <t>Rekap otomatis per negara. Jangan diketik manual.</t>
        </is>
      </c>
    </row>
    <row r="11">
      <c r="B11" s="4" t="inlineStr">
        <is>
          <t>6. Syarat Ekspor</t>
        </is>
      </c>
      <c r="C11" s="5" t="inlineStr">
        <is>
          <t>Checklist dokumen ekspor briket ke Timur Tengah.</t>
        </is>
      </c>
    </row>
    <row r="13">
      <c r="B13" s="3" t="inlineStr">
        <is>
          <t>KODE WARNA</t>
        </is>
      </c>
    </row>
    <row r="14">
      <c r="B14" s="6" t="inlineStr">
        <is>
          <t>Sel kuning</t>
        </is>
      </c>
      <c r="C14" s="5" t="inlineStr">
        <is>
          <t>Input Anda (boleh diketik/diubah)</t>
        </is>
      </c>
    </row>
    <row r="15">
      <c r="B15" s="4" t="inlineStr">
        <is>
          <t>Teks biru</t>
        </is>
      </c>
      <c r="C15" s="5" t="inlineStr">
        <is>
          <t>Angka asumsi yang diinput manual (mis. kurs)</t>
        </is>
      </c>
    </row>
    <row r="16">
      <c r="B16" s="4" t="inlineStr">
        <is>
          <t>Teks hitam</t>
        </is>
      </c>
      <c r="C16" s="5" t="inlineStr">
        <is>
          <t>Rumus: jangan ditimpa</t>
        </is>
      </c>
    </row>
    <row r="18">
      <c r="B18" s="3" t="inlineStr">
        <is>
          <t>PRIORITAS (penilaian awal)</t>
        </is>
      </c>
    </row>
    <row r="19">
      <c r="B19" s="7" t="inlineStr">
        <is>
          <t>A</t>
        </is>
      </c>
      <c r="C19" s="5" t="inlineStr">
        <is>
          <t>Terbukti impor/menjual briket kelapa shisha (data kiriman bea cukai atau katalog produk)</t>
        </is>
      </c>
    </row>
    <row r="20">
      <c r="B20" s="7" t="inlineStr">
        <is>
          <t>B</t>
        </is>
      </c>
      <c r="C20" s="5" t="inlineStr">
        <is>
          <t>Trader/distributor arang atau shisha, atau pernah memasang permintaan beli: kandidat kuat</t>
        </is>
      </c>
    </row>
    <row r="21">
      <c r="B21" s="7" t="inlineStr">
        <is>
          <t>C</t>
        </is>
      </c>
      <c r="C21" s="5" t="inlineStr">
        <is>
          <t>Informasi terbatas atau bisa jadi pesaing (juga menjual): prospek sekunder</t>
        </is>
      </c>
    </row>
    <row r="23">
      <c r="B23" s="3" t="inlineStr">
        <is>
          <t>PENGATURAN</t>
        </is>
      </c>
    </row>
    <row r="24">
      <c r="B24" s="4" t="inlineStr">
        <is>
          <t>Kurs USD → IDR</t>
        </is>
      </c>
      <c r="C24" s="8" t="n">
        <v>16500</v>
      </c>
    </row>
    <row r="25">
      <c r="B25" s="4" t="inlineStr">
        <is>
          <t>Isi 1 kontainer 20ft (ton)</t>
        </is>
      </c>
      <c r="C25" s="8" t="n">
        <v>18</v>
      </c>
    </row>
    <row r="27">
      <c r="B27" s="3" t="inlineStr">
        <is>
          <t>CATATAN PENTING</t>
        </is>
      </c>
    </row>
    <row r="28">
      <c r="B28" s="4" t="inlineStr">
        <is>
          <t>Kontak</t>
        </is>
      </c>
      <c r="C28" s="5" t="inlineStr">
        <is>
          <t>Kontak pribadi dari papan lead tidak disalin. Buka link Sumber, lalu hubungi lewat formulir/kontak resmi perusahaan. Tidak ada data yang dikarang.</t>
        </is>
      </c>
    </row>
    <row r="29">
      <c r="B29" s="4" t="inlineStr">
        <is>
          <t>Pesaing</t>
        </is>
      </c>
      <c r="C29" s="5" t="inlineStr">
        <is>
          <t>Banyak hasil pencarian adalah pabrik Indonesia (pesaing Anda), jadi tidak dimasukkan sebagai buyer.</t>
        </is>
      </c>
    </row>
    <row r="30">
      <c r="B30" s="4" t="inlineStr">
        <is>
          <t>Iraq</t>
        </is>
      </c>
      <c r="C30" s="5" t="inlineStr">
        <is>
          <t>Ada permintaan aktif (mis. 28 ton per 2 minggu, CIF Umm Qasr, LC) di ExportHub &amp; Go4WorldBusiness, tapi nama perusahaannya tidak tampil. Lihat sheet Sumber Lead.</t>
        </is>
      </c>
    </row>
    <row r="31">
      <c r="B31" s="4" t="inlineStr">
        <is>
          <t>Waktu</t>
        </is>
      </c>
      <c r="C31" s="5" t="inlineStr">
        <is>
          <t>Permintaan shisha naik menjelang Ramadan (perkiraan mulai pertengahan Feb 2027). Kirim penawaran Okt–Des 2026 supaya kontainer tiba tepat waktu (transit 25–45 hari).</t>
        </is>
      </c>
    </row>
  </sheetData>
  <pageMargins left="0.75" right="0.75" top="1" bottom="1" header="0.5" footer="0.5"/>
</worksheet>
</file>

<file path=xl/worksheets/sheet2.xml><?xml version="1.0" encoding="utf-8"?>
<worksheet xmlns="http://schemas.openxmlformats.org/spreadsheetml/2006/main">
  <sheetPr>
    <tabColor rgb="001F3864"/>
    <outlinePr summaryBelow="1" summaryRight="1"/>
    <pageSetUpPr/>
  </sheetPr>
  <dimension ref="A1:P202"/>
  <sheetViews>
    <sheetView showGridLines="0" workbookViewId="0">
      <pane xSplit="2" ySplit="2" topLeftCell="C3" activePane="bottomRight" state="frozen"/>
      <selection pane="topRight"/>
      <selection pane="bottomLeft"/>
      <selection pane="bottomRight" activeCell="A1" sqref="A1"/>
    </sheetView>
  </sheetViews>
  <sheetFormatPr baseColWidth="8" defaultRowHeight="15"/>
  <cols>
    <col width="7" customWidth="1" min="1" max="1"/>
    <col width="38" customWidth="1" min="2" max="2"/>
    <col width="13" customWidth="1" min="3" max="3"/>
    <col width="13" customWidth="1" min="4" max="4"/>
    <col width="14" customWidth="1" min="5" max="5"/>
    <col width="10" customWidth="1" min="6" max="6"/>
    <col width="34" customWidth="1" min="7" max="7"/>
    <col width="34" customWidth="1" min="8" max="8"/>
    <col width="18" customWidth="1" min="9" max="9"/>
    <col width="24" customWidth="1" min="10" max="10"/>
    <col width="16" customWidth="1" min="11" max="11"/>
    <col width="14" customWidth="1" min="12" max="12"/>
    <col width="14" customWidth="1" min="13" max="13"/>
    <col width="50" customWidth="1" min="14" max="14"/>
    <col width="44" customWidth="1" min="15" max="15"/>
    <col width="30" customWidth="1" min="16" max="16"/>
  </cols>
  <sheetData>
    <row r="1">
      <c r="A1" s="9" t="inlineStr">
        <is>
          <t>DATABASE BUYER BRIKET SHISHA: TIMUR TENGAH</t>
        </is>
      </c>
    </row>
    <row r="2">
      <c r="A2" s="10" t="inlineStr">
        <is>
          <t>ID</t>
        </is>
      </c>
      <c r="B2" s="10" t="inlineStr">
        <is>
          <t>Perusahaan</t>
        </is>
      </c>
      <c r="C2" s="10" t="inlineStr">
        <is>
          <t>Negara</t>
        </is>
      </c>
      <c r="D2" s="10" t="inlineStr">
        <is>
          <t>Kota</t>
        </is>
      </c>
      <c r="E2" s="10" t="inlineStr">
        <is>
          <t>Tipe</t>
        </is>
      </c>
      <c r="F2" s="10" t="inlineStr">
        <is>
          <t>Prioritas</t>
        </is>
      </c>
      <c r="G2" s="10" t="inlineStr">
        <is>
          <t>Produk / Fokus</t>
        </is>
      </c>
      <c r="H2" s="10" t="inlineStr">
        <is>
          <t>Website / Listing</t>
        </is>
      </c>
      <c r="I2" s="10" t="inlineStr">
        <is>
          <t>PIC</t>
        </is>
      </c>
      <c r="J2" s="10" t="inlineStr">
        <is>
          <t>Email</t>
        </is>
      </c>
      <c r="K2" s="10" t="inlineStr">
        <is>
          <t>Telepon</t>
        </is>
      </c>
      <c r="L2" s="10" t="inlineStr">
        <is>
          <t>Status</t>
        </is>
      </c>
      <c r="M2" s="10" t="inlineStr">
        <is>
          <t>Follow-up Berikutnya</t>
        </is>
      </c>
      <c r="N2" s="10" t="inlineStr">
        <is>
          <t>Relevansi (hasil riset)</t>
        </is>
      </c>
      <c r="O2" s="10" t="inlineStr">
        <is>
          <t>Sumber</t>
        </is>
      </c>
      <c r="P2" s="10" t="inlineStr">
        <is>
          <t>Catatan Anda</t>
        </is>
      </c>
    </row>
    <row r="3">
      <c r="A3" s="11" t="inlineStr">
        <is>
          <t>B001</t>
        </is>
      </c>
      <c r="B3" s="11" t="inlineStr">
        <is>
          <t>Al Sultan Coal &amp; Firewood Trading</t>
        </is>
      </c>
      <c r="C3" s="11" t="inlineStr">
        <is>
          <t>UAE</t>
        </is>
      </c>
      <c r="D3" s="11" t="inlineStr">
        <is>
          <t>Dubai</t>
        </is>
      </c>
      <c r="E3" s="11" t="inlineStr">
        <is>
          <t>Distributor</t>
        </is>
      </c>
      <c r="F3" s="11" t="inlineStr">
        <is>
          <t>A</t>
        </is>
      </c>
      <c r="G3" s="11" t="inlineStr">
        <is>
          <t>Arang shisha kelapa, arang kayu, briket</t>
        </is>
      </c>
      <c r="H3" s="12" t="inlineStr">
        <is>
          <t>https://alsultancoal.com/</t>
        </is>
      </c>
      <c r="I3" s="13" t="n"/>
      <c r="J3" s="13" t="n"/>
      <c r="K3" s="13" t="n"/>
      <c r="L3" s="13" t="inlineStr">
        <is>
          <t>Baru</t>
        </is>
      </c>
      <c r="M3" s="14" t="n"/>
      <c r="N3" s="11" t="inlineStr">
        <is>
          <t>Menjual coconut shisha charcoal &amp; briket di Dubai; perlu pasokan rutin</t>
        </is>
      </c>
      <c r="O3" s="12" t="inlineStr">
        <is>
          <t>https://alsultancoal.com/best-coconut-charcoal-dubai/</t>
        </is>
      </c>
      <c r="P3" s="13" t="n"/>
    </row>
    <row r="4">
      <c r="A4" s="11" t="inlineStr">
        <is>
          <t>B002</t>
        </is>
      </c>
      <c r="B4" s="11" t="inlineStr">
        <is>
          <t>Soex (distributor shisha)</t>
        </is>
      </c>
      <c r="C4" s="11" t="inlineStr">
        <is>
          <t>UAE</t>
        </is>
      </c>
      <c r="D4" s="11" t="inlineStr">
        <is>
          <t>Dubai</t>
        </is>
      </c>
      <c r="E4" s="11" t="inlineStr">
        <is>
          <t>Distributor</t>
        </is>
      </c>
      <c r="F4" s="11" t="inlineStr">
        <is>
          <t>B</t>
        </is>
      </c>
      <c r="G4" s="11" t="inlineStr">
        <is>
          <t>Perisa shisha + arang kelapa (merek Irfaz Coco-Zeal)</t>
        </is>
      </c>
      <c r="H4" s="12" t="inlineStr">
        <is>
          <t>https://soex.com/</t>
        </is>
      </c>
      <c r="I4" s="13" t="n"/>
      <c r="J4" s="13" t="n"/>
      <c r="K4" s="13" t="n"/>
      <c r="L4" s="13" t="inlineStr">
        <is>
          <t>Baru</t>
        </is>
      </c>
      <c r="M4" s="14" t="n"/>
      <c r="N4" s="11" t="inlineStr">
        <is>
          <t>Grosir arang kelapa ke Dubai, Sharjah, Abu Dhabi; peluang private label</t>
        </is>
      </c>
      <c r="O4" s="12" t="inlineStr">
        <is>
          <t>https://soex.com/afzal-wholesale-supplier-distributor-of-shisha-flavors-in-united-arab-emirates/</t>
        </is>
      </c>
      <c r="P4" s="13" t="n"/>
    </row>
    <row r="5">
      <c r="A5" s="11" t="inlineStr">
        <is>
          <t>B003</t>
        </is>
      </c>
      <c r="B5" s="11" t="inlineStr">
        <is>
          <t>Al Fakher</t>
        </is>
      </c>
      <c r="C5" s="11" t="inlineStr">
        <is>
          <t>UAE</t>
        </is>
      </c>
      <c r="D5" s="11" t="inlineStr">
        <is>
          <t>Ajman</t>
        </is>
      </c>
      <c r="E5" s="11" t="inlineStr">
        <is>
          <t>Brand</t>
        </is>
      </c>
      <c r="F5" s="11" t="inlineStr">
        <is>
          <t>B</t>
        </is>
      </c>
      <c r="G5" s="11" t="inlineStr">
        <is>
          <t>Brand shisha besar; menjual arang kelapa kubus</t>
        </is>
      </c>
      <c r="H5" s="12" t="inlineStr">
        <is>
          <t>https://alfakher.com/</t>
        </is>
      </c>
      <c r="I5" s="13" t="n"/>
      <c r="J5" s="13" t="n"/>
      <c r="K5" s="13" t="n"/>
      <c r="L5" s="13" t="inlineStr">
        <is>
          <t>Baru</t>
        </is>
      </c>
      <c r="M5" s="14" t="n"/>
      <c r="N5" s="11" t="inlineStr">
        <is>
          <t>Brand global; sasaran OEM/maklon jangka panjang (seleksi ketat, butuh sertifikat lengkap)</t>
        </is>
      </c>
      <c r="O5" s="12" t="inlineStr">
        <is>
          <t>https://hookah.com/c/hookah-charcoal</t>
        </is>
      </c>
      <c r="P5" s="13" t="n"/>
    </row>
    <row r="6">
      <c r="A6" s="11" t="inlineStr">
        <is>
          <t>B004</t>
        </is>
      </c>
      <c r="B6" s="11" t="inlineStr">
        <is>
          <t>Context General Trading LLC</t>
        </is>
      </c>
      <c r="C6" s="11" t="inlineStr">
        <is>
          <t>UAE</t>
        </is>
      </c>
      <c r="D6" s="11" t="inlineStr">
        <is>
          <t>Dubai (Deira)</t>
        </is>
      </c>
      <c r="E6" s="11" t="inlineStr">
        <is>
          <t>Trader</t>
        </is>
      </c>
      <c r="F6" s="11" t="inlineStr">
        <is>
          <t>B</t>
        </is>
      </c>
      <c r="G6" s="11" t="inlineStr">
        <is>
          <t>Arang tempurung kelapa untuk hookah</t>
        </is>
      </c>
      <c r="H6" s="12" t="inlineStr">
        <is>
          <t>https://www.go4worldbusiness.com/suppliers/united-arab-emirates/charcoal.html</t>
        </is>
      </c>
      <c r="I6" s="13" t="n"/>
      <c r="J6" s="13" t="n"/>
      <c r="K6" s="13" t="n"/>
      <c r="L6" s="13" t="inlineStr">
        <is>
          <t>Baru</t>
        </is>
      </c>
      <c r="M6" s="14" t="n"/>
      <c r="N6" s="11" t="inlineStr">
        <is>
          <t>Terdaftar di direktori UAE sebagai pemasok coconut shell hookah charcoal</t>
        </is>
      </c>
      <c r="O6" s="12" t="inlineStr">
        <is>
          <t>https://www.go4worldbusiness.com/suppliers/united-arab-emirates/charcoal.html</t>
        </is>
      </c>
      <c r="P6" s="13" t="n"/>
    </row>
    <row r="7">
      <c r="A7" s="11" t="inlineStr">
        <is>
          <t>B005</t>
        </is>
      </c>
      <c r="B7" s="11" t="inlineStr">
        <is>
          <t>Aristo General Trading F.Z.E</t>
        </is>
      </c>
      <c r="C7" s="11" t="inlineStr">
        <is>
          <t>UAE</t>
        </is>
      </c>
      <c r="D7" s="11" t="inlineStr">
        <is>
          <t>Ajman</t>
        </is>
      </c>
      <c r="E7" s="11" t="inlineStr">
        <is>
          <t>Trader</t>
        </is>
      </c>
      <c r="F7" s="11" t="inlineStr">
        <is>
          <t>B</t>
        </is>
      </c>
      <c r="G7" s="11" t="inlineStr">
        <is>
          <t>Arang shisha</t>
        </is>
      </c>
      <c r="H7" s="12" t="inlineStr">
        <is>
          <t>https://www.go4worldbusiness.com/suppliers/united-arab-emirates/charcoal.html</t>
        </is>
      </c>
      <c r="I7" s="13" t="n"/>
      <c r="J7" s="13" t="n"/>
      <c r="K7" s="13" t="n"/>
      <c r="L7" s="13" t="inlineStr">
        <is>
          <t>Baru</t>
        </is>
      </c>
      <c r="M7" s="14" t="n"/>
      <c r="N7" s="11" t="inlineStr">
        <is>
          <t>Terdaftar untuk shisha charcoal (MOQ 400 menurut listing)</t>
        </is>
      </c>
      <c r="O7" s="12" t="inlineStr">
        <is>
          <t>https://www.go4worldbusiness.com/suppliers/united-arab-emirates/charcoal.html</t>
        </is>
      </c>
      <c r="P7" s="13" t="n"/>
    </row>
    <row r="8">
      <c r="A8" s="11" t="inlineStr">
        <is>
          <t>B006</t>
        </is>
      </c>
      <c r="B8" s="11" t="inlineStr">
        <is>
          <t>N I R A N Coal &amp; Firewood Trading</t>
        </is>
      </c>
      <c r="C8" s="11" t="inlineStr">
        <is>
          <t>UAE</t>
        </is>
      </c>
      <c r="D8" s="11" t="inlineStr">
        <is>
          <t>Dubai</t>
        </is>
      </c>
      <c r="E8" s="11" t="inlineStr">
        <is>
          <t>Trader</t>
        </is>
      </c>
      <c r="F8" s="11" t="inlineStr">
        <is>
          <t>B</t>
        </is>
      </c>
      <c r="G8" s="11" t="inlineStr">
        <is>
          <t>Arang kelapa, arang kayu, arang shisha</t>
        </is>
      </c>
      <c r="H8" s="12" t="inlineStr">
        <is>
          <t>https://www.go4worldbusiness.com/suppliers/united-arab-emirates/dubai/wood-charcoal.html</t>
        </is>
      </c>
      <c r="I8" s="13" t="n"/>
      <c r="J8" s="13" t="n"/>
      <c r="K8" s="13" t="n"/>
      <c r="L8" s="13" t="inlineStr">
        <is>
          <t>Baru</t>
        </is>
      </c>
      <c r="M8" s="14" t="n"/>
      <c r="N8" s="11" t="inlineStr">
        <is>
          <t>Menjual coconut shell &amp; shisha charcoal, ada layanan re-ekspor</t>
        </is>
      </c>
      <c r="O8" s="12" t="inlineStr">
        <is>
          <t>https://www.go4worldbusiness.com/suppliers/united-arab-emirates/dubai/wood-charcoal.html</t>
        </is>
      </c>
      <c r="P8" s="13" t="n"/>
    </row>
    <row r="9">
      <c r="A9" s="11" t="inlineStr">
        <is>
          <t>B007</t>
        </is>
      </c>
      <c r="B9" s="11" t="inlineStr">
        <is>
          <t>Jas General Trading</t>
        </is>
      </c>
      <c r="C9" s="11" t="inlineStr">
        <is>
          <t>UAE</t>
        </is>
      </c>
      <c r="D9" s="11" t="inlineStr">
        <is>
          <t>Dubai</t>
        </is>
      </c>
      <c r="E9" s="11" t="inlineStr">
        <is>
          <t>Trader</t>
        </is>
      </c>
      <c r="F9" s="11" t="inlineStr">
        <is>
          <t>C</t>
        </is>
      </c>
      <c r="G9" s="11" t="inlineStr">
        <is>
          <t>Arang tempurung kelapa</t>
        </is>
      </c>
      <c r="H9" s="12" t="inlineStr">
        <is>
          <t>https://www.go4worldbusiness.com/suppliers/united-arab-emirates/dubai/wood-charcoal.html</t>
        </is>
      </c>
      <c r="I9" s="13" t="n"/>
      <c r="J9" s="13" t="n"/>
      <c r="K9" s="13" t="n"/>
      <c r="L9" s="13" t="inlineStr">
        <is>
          <t>Baru</t>
        </is>
      </c>
      <c r="M9" s="14" t="n"/>
      <c r="N9" s="11" t="inlineStr">
        <is>
          <t>Listing direktori; info terbatas</t>
        </is>
      </c>
      <c r="O9" s="12" t="inlineStr">
        <is>
          <t>https://www.go4worldbusiness.com/suppliers/united-arab-emirates/dubai/wood-charcoal.html</t>
        </is>
      </c>
      <c r="P9" s="13" t="n"/>
    </row>
    <row r="10">
      <c r="A10" s="11" t="inlineStr">
        <is>
          <t>B008</t>
        </is>
      </c>
      <c r="B10" s="11" t="inlineStr">
        <is>
          <t>CocoSham Co. (ShamBuy KSA)</t>
        </is>
      </c>
      <c r="C10" s="11" t="inlineStr">
        <is>
          <t>Saudi Arabia</t>
        </is>
      </c>
      <c r="D10" s="11" t="inlineStr">
        <is>
          <t>Jeddah</t>
        </is>
      </c>
      <c r="E10" s="11" t="inlineStr">
        <is>
          <t>Wholesaler</t>
        </is>
      </c>
      <c r="F10" s="11" t="inlineStr">
        <is>
          <t>B</t>
        </is>
      </c>
      <c r="G10" s="11" t="inlineStr">
        <is>
          <t>Shisha, perlengkapan BBQ, arang grosir &amp; eceran</t>
        </is>
      </c>
      <c r="H10" s="12" t="inlineStr">
        <is>
          <t>https://shambuy.sa/en/charcoal-wholesale/c717263282</t>
        </is>
      </c>
      <c r="I10" s="13" t="n"/>
      <c r="J10" s="13" t="n"/>
      <c r="K10" s="13" t="n"/>
      <c r="L10" s="13" t="inlineStr">
        <is>
          <t>Baru</t>
        </is>
      </c>
      <c r="M10" s="14" t="n"/>
      <c r="N10" s="11" t="inlineStr">
        <is>
          <t>Usaha lokal Jeddah yang menjual arang grosir; cocok untuk 1 kontainer campur</t>
        </is>
      </c>
      <c r="O10" s="12" t="inlineStr">
        <is>
          <t>https://shambuy.sa/en/charcoal-wholesale/c717263282</t>
        </is>
      </c>
      <c r="P10" s="13" t="n"/>
    </row>
    <row r="11">
      <c r="A11" s="11" t="inlineStr">
        <is>
          <t>B009</t>
        </is>
      </c>
      <c r="B11" s="11" t="inlineStr">
        <is>
          <t>Superior Coco (Superiorcoco Coals)</t>
        </is>
      </c>
      <c r="C11" s="11" t="inlineStr">
        <is>
          <t>Jordan</t>
        </is>
      </c>
      <c r="D11" s="11" t="inlineStr">
        <is>
          <t>Amman</t>
        </is>
      </c>
      <c r="E11" s="11" t="inlineStr">
        <is>
          <t>Wholesaler</t>
        </is>
      </c>
      <c r="F11" s="11" t="inlineStr">
        <is>
          <t>A</t>
        </is>
      </c>
      <c r="G11" s="11" t="inlineStr">
        <is>
          <t>Briket arang, arang hookah, arang kelapa</t>
        </is>
      </c>
      <c r="H11" s="12" t="inlineStr">
        <is>
          <t>https://www.go4worldbusiness.com/suppliers/jordan/charcoal.html</t>
        </is>
      </c>
      <c r="I11" s="13" t="n"/>
      <c r="J11" s="13" t="n"/>
      <c r="K11" s="13" t="n"/>
      <c r="L11" s="13" t="inlineStr">
        <is>
          <t>Baru</t>
        </is>
      </c>
      <c r="M11" s="14" t="n"/>
      <c r="N11" s="11" t="inlineStr">
        <is>
          <t>Grosir arang kelapa dengan lini arang hookah di Amman</t>
        </is>
      </c>
      <c r="O11" s="12" t="inlineStr">
        <is>
          <t>https://www.go4worldbusiness.com/suppliers/jordan/charcoal.html</t>
        </is>
      </c>
      <c r="P11" s="13" t="n"/>
    </row>
    <row r="12">
      <c r="A12" s="11" t="inlineStr">
        <is>
          <t>B010</t>
        </is>
      </c>
      <c r="B12" s="11" t="inlineStr">
        <is>
          <t>Jordanian Company For Natural Coal Manufacturing</t>
        </is>
      </c>
      <c r="C12" s="11" t="inlineStr">
        <is>
          <t>Jordan</t>
        </is>
      </c>
      <c r="D12" s="11" t="inlineStr">
        <is>
          <t>Amman</t>
        </is>
      </c>
      <c r="E12" s="11" t="inlineStr">
        <is>
          <t>Distributor</t>
        </is>
      </c>
      <c r="F12" s="11" t="inlineStr">
        <is>
          <t>B</t>
        </is>
      </c>
      <c r="G12" s="11" t="inlineStr">
        <is>
          <t>Dealer arang, termasuk arang shisha</t>
        </is>
      </c>
      <c r="H12" s="12" t="inlineStr">
        <is>
          <t>https://www.go4worldbusiness.com/member/view/3071365/jordanian-company-for-natural-coal-manufacturing.html</t>
        </is>
      </c>
      <c r="I12" s="13" t="n"/>
      <c r="J12" s="13" t="n"/>
      <c r="K12" s="13" t="n"/>
      <c r="L12" s="13" t="inlineStr">
        <is>
          <t>Baru</t>
        </is>
      </c>
      <c r="M12" s="14" t="n"/>
      <c r="N12" s="11" t="inlineStr">
        <is>
          <t>Terdaftar sebagai buyer sekaligus penjual; ada layanan ekspor</t>
        </is>
      </c>
      <c r="O12" s="12" t="inlineStr">
        <is>
          <t>https://www.go4worldbusiness.com/member/view/3071365/jordanian-company-for-natural-coal-manufacturing.html</t>
        </is>
      </c>
      <c r="P12" s="13" t="n"/>
    </row>
    <row r="13">
      <c r="A13" s="11" t="inlineStr">
        <is>
          <t>B011</t>
        </is>
      </c>
      <c r="B13" s="11" t="inlineStr">
        <is>
          <t>Briqo</t>
        </is>
      </c>
      <c r="C13" s="11" t="inlineStr">
        <is>
          <t>Jordan</t>
        </is>
      </c>
      <c r="D13" s="11" t="inlineStr">
        <is>
          <t>Amman</t>
        </is>
      </c>
      <c r="E13" s="11" t="inlineStr">
        <is>
          <t>Trader</t>
        </is>
      </c>
      <c r="F13" s="11" t="inlineStr">
        <is>
          <t>C</t>
        </is>
      </c>
      <c r="G13" s="11" t="inlineStr">
        <is>
          <t>Briket kelapa shisha (bahan baku Afrika)</t>
        </is>
      </c>
      <c r="H13" s="12" t="inlineStr">
        <is>
          <t>https://www.go4worldbusiness.com/suppliers/jordan/charcoal.html</t>
        </is>
      </c>
      <c r="I13" s="13" t="n"/>
      <c r="J13" s="13" t="n"/>
      <c r="K13" s="13" t="n"/>
      <c r="L13" s="13" t="inlineStr">
        <is>
          <t>Baru</t>
        </is>
      </c>
      <c r="M13" s="14" t="n"/>
      <c r="N13" s="11" t="inlineStr">
        <is>
          <t>Saat ini pakai tempurung Afrika, kirim FOB Mesir; bisa jadi pesaing atau buyer alternatif</t>
        </is>
      </c>
      <c r="O13" s="12" t="inlineStr">
        <is>
          <t>https://www.go4worldbusiness.com/suppliers/jordan/charcoal.html</t>
        </is>
      </c>
      <c r="P13" s="13" t="n"/>
    </row>
    <row r="14">
      <c r="A14" s="11" t="inlineStr">
        <is>
          <t>B012</t>
        </is>
      </c>
      <c r="B14" s="11" t="inlineStr">
        <is>
          <t>Arnaout Trading Company</t>
        </is>
      </c>
      <c r="C14" s="11" t="inlineStr">
        <is>
          <t>Lebanon</t>
        </is>
      </c>
      <c r="D14" s="11" t="inlineStr">
        <is>
          <t>Beirut</t>
        </is>
      </c>
      <c r="E14" s="11" t="inlineStr">
        <is>
          <t>Importir</t>
        </is>
      </c>
      <c r="F14" s="11" t="inlineStr">
        <is>
          <t>B</t>
        </is>
      </c>
      <c r="G14" s="11" t="inlineStr">
        <is>
          <t>Arang hookah / arang kelapa</t>
        </is>
      </c>
      <c r="H14" s="12" t="inlineStr">
        <is>
          <t>https://importer.tradekey.com/lebanon/hookah-charcoal.htm</t>
        </is>
      </c>
      <c r="I14" s="13" t="n"/>
      <c r="J14" s="13" t="n"/>
      <c r="K14" s="13" t="n"/>
      <c r="L14" s="13" t="inlineStr">
        <is>
          <t>Baru</t>
        </is>
      </c>
      <c r="M14" s="14" t="n"/>
      <c r="N14" s="11" t="inlineStr">
        <is>
          <t>Memasang permintaan beli arang hookah di Tradekey</t>
        </is>
      </c>
      <c r="O14" s="12" t="inlineStr">
        <is>
          <t>https://importer.tradekey.com/lebanon/hookah-charcoal.htm</t>
        </is>
      </c>
      <c r="P14" s="13" t="n"/>
    </row>
    <row r="15">
      <c r="A15" s="11" t="inlineStr">
        <is>
          <t>B013</t>
        </is>
      </c>
      <c r="B15" s="11" t="inlineStr">
        <is>
          <t>Alghad for Export, Import and International Services</t>
        </is>
      </c>
      <c r="C15" s="11" t="inlineStr">
        <is>
          <t>Egypt</t>
        </is>
      </c>
      <c r="D15" s="11" t="inlineStr">
        <is>
          <t>-</t>
        </is>
      </c>
      <c r="E15" s="11" t="inlineStr">
        <is>
          <t>Importir</t>
        </is>
      </c>
      <c r="F15" s="11" t="inlineStr">
        <is>
          <t>A</t>
        </is>
      </c>
      <c r="G15" s="11" t="inlineStr">
        <is>
          <t>Coconut shell charcoal briquette</t>
        </is>
      </c>
      <c r="H15" s="12" t="inlineStr">
        <is>
          <t>https://www.volza.com/p/charcoal-briquettes/buyers/buyers-in-egypt/</t>
        </is>
      </c>
      <c r="I15" s="13" t="n"/>
      <c r="J15" s="13" t="n"/>
      <c r="K15" s="13" t="n"/>
      <c r="L15" s="13" t="inlineStr">
        <is>
          <t>Baru</t>
        </is>
      </c>
      <c r="M15" s="14" t="n"/>
      <c r="N15" s="11" t="inlineStr">
        <is>
          <t>Tercatat impor briket tempurung kelapa 2023–2024 (data kiriman Volza)</t>
        </is>
      </c>
      <c r="O15" s="12" t="inlineStr">
        <is>
          <t>https://www.volza.com/p/charcoal-briquettes/buyers/buyers-in-egypt/</t>
        </is>
      </c>
      <c r="P15" s="13" t="n"/>
    </row>
    <row r="16">
      <c r="A16" s="11" t="inlineStr">
        <is>
          <t>B014</t>
        </is>
      </c>
      <c r="B16" s="11" t="inlineStr">
        <is>
          <t>Master Deals Egypt</t>
        </is>
      </c>
      <c r="C16" s="11" t="inlineStr">
        <is>
          <t>Egypt</t>
        </is>
      </c>
      <c r="D16" s="11" t="inlineStr">
        <is>
          <t>-</t>
        </is>
      </c>
      <c r="E16" s="11" t="inlineStr">
        <is>
          <t>Importir</t>
        </is>
      </c>
      <c r="F16" s="11" t="inlineStr">
        <is>
          <t>A</t>
        </is>
      </c>
      <c r="G16" s="11" t="inlineStr">
        <is>
          <t>Coconut shell charcoal briquette</t>
        </is>
      </c>
      <c r="H16" s="12" t="inlineStr">
        <is>
          <t>https://www.volza.com/p/charcoal-briquettes/buyers/buyers-in-egypt/</t>
        </is>
      </c>
      <c r="I16" s="13" t="n"/>
      <c r="J16" s="13" t="n"/>
      <c r="K16" s="13" t="n"/>
      <c r="L16" s="13" t="inlineStr">
        <is>
          <t>Baru</t>
        </is>
      </c>
      <c r="M16" s="14" t="n"/>
      <c r="N16" s="11" t="inlineStr">
        <is>
          <t>Tercatat impor briket tempurung kelapa 2023–2024 (Volza)</t>
        </is>
      </c>
      <c r="O16" s="12" t="inlineStr">
        <is>
          <t>https://www.volza.com/p/charcoal-briquettes/buyers/buyers-in-egypt/</t>
        </is>
      </c>
      <c r="P16" s="13" t="n"/>
    </row>
    <row r="17">
      <c r="A17" s="11" t="inlineStr">
        <is>
          <t>B015</t>
        </is>
      </c>
      <c r="B17" s="11" t="inlineStr">
        <is>
          <t>Helalia Establishment for Import Export and Customs</t>
        </is>
      </c>
      <c r="C17" s="11" t="inlineStr">
        <is>
          <t>Egypt</t>
        </is>
      </c>
      <c r="D17" s="11" t="inlineStr">
        <is>
          <t>-</t>
        </is>
      </c>
      <c r="E17" s="11" t="inlineStr">
        <is>
          <t>Importir</t>
        </is>
      </c>
      <c r="F17" s="11" t="inlineStr">
        <is>
          <t>B</t>
        </is>
      </c>
      <c r="G17" s="11" t="inlineStr">
        <is>
          <t>Coconut shell charcoal briquette</t>
        </is>
      </c>
      <c r="H17" s="12" t="inlineStr">
        <is>
          <t>https://www.volza.com/p/charcoal-briquettes/buyers/buyers-in-egypt/</t>
        </is>
      </c>
      <c r="I17" s="13" t="n"/>
      <c r="J17" s="13" t="n"/>
      <c r="K17" s="13" t="n"/>
      <c r="L17" s="13" t="inlineStr">
        <is>
          <t>Baru</t>
        </is>
      </c>
      <c r="M17" s="14" t="n"/>
      <c r="N17" s="11" t="inlineStr">
        <is>
          <t>Tercatat di data kiriman Volza; bisa jadi agen bea cukai untuk importir lain</t>
        </is>
      </c>
      <c r="O17" s="12" t="inlineStr">
        <is>
          <t>https://www.volza.com/p/charcoal-briquettes/buyers/buyers-in-egypt/</t>
        </is>
      </c>
      <c r="P17" s="13" t="n"/>
    </row>
    <row r="18">
      <c r="A18" s="11" t="inlineStr">
        <is>
          <t>B016</t>
        </is>
      </c>
      <c r="B18" s="11" t="inlineStr">
        <is>
          <t>Fruitynile</t>
        </is>
      </c>
      <c r="C18" s="11" t="inlineStr">
        <is>
          <t>Egypt</t>
        </is>
      </c>
      <c r="D18" s="11" t="inlineStr">
        <is>
          <t>Cairo</t>
        </is>
      </c>
      <c r="E18" s="11" t="inlineStr">
        <is>
          <t>Importir</t>
        </is>
      </c>
      <c r="F18" s="11" t="inlineStr">
        <is>
          <t>B</t>
        </is>
      </c>
      <c r="G18" s="11" t="inlineStr">
        <is>
          <t>Arang, briket, arang tempurung kelapa</t>
        </is>
      </c>
      <c r="H18" s="12" t="inlineStr">
        <is>
          <t>https://www.go4worldbusiness.com/buyers/egypt/coconut-shell-charcoal.html</t>
        </is>
      </c>
      <c r="I18" s="13" t="n"/>
      <c r="J18" s="13" t="n"/>
      <c r="K18" s="13" t="n"/>
      <c r="L18" s="13" t="inlineStr">
        <is>
          <t>Baru</t>
        </is>
      </c>
      <c r="M18" s="14" t="n"/>
      <c r="N18" s="11" t="inlineStr">
        <is>
          <t>Terdaftar sebagai buyer briket &amp; arang tempurung kelapa</t>
        </is>
      </c>
      <c r="O18" s="12" t="inlineStr">
        <is>
          <t>https://www.go4worldbusiness.com/buyers/egypt/coconut-shell-charcoal.html</t>
        </is>
      </c>
      <c r="P18" s="13" t="n"/>
    </row>
    <row r="19">
      <c r="A19" s="11" t="inlineStr">
        <is>
          <t>B017</t>
        </is>
      </c>
      <c r="B19" s="11" t="inlineStr">
        <is>
          <t>Khairy Group</t>
        </is>
      </c>
      <c r="C19" s="11" t="inlineStr">
        <is>
          <t>Egypt</t>
        </is>
      </c>
      <c r="D19" s="11" t="inlineStr">
        <is>
          <t>Giza</t>
        </is>
      </c>
      <c r="E19" s="11" t="inlineStr">
        <is>
          <t>Trader</t>
        </is>
      </c>
      <c r="F19" s="11" t="inlineStr">
        <is>
          <t>C</t>
        </is>
      </c>
      <c r="G19" s="11" t="inlineStr">
        <is>
          <t>Briket tempurung kelapa (shisha charcoal)</t>
        </is>
      </c>
      <c r="H19" s="12" t="inlineStr">
        <is>
          <t>https://www.go4worldbusiness.com/suppliers/egypt/coconut-shell-charcoal.html</t>
        </is>
      </c>
      <c r="I19" s="13" t="n"/>
      <c r="J19" s="13" t="n"/>
      <c r="K19" s="13" t="n"/>
      <c r="L19" s="13" t="inlineStr">
        <is>
          <t>Baru</t>
        </is>
      </c>
      <c r="M19" s="14" t="n"/>
      <c r="N19" s="11" t="inlineStr">
        <is>
          <t>Importir &amp; eksportir sekaligus; bisa beli bahan jadi untuk dikemas ulang</t>
        </is>
      </c>
      <c r="O19" s="12" t="inlineStr">
        <is>
          <t>https://www.go4worldbusiness.com/suppliers/egypt/coconut-shell-charcoal.html</t>
        </is>
      </c>
      <c r="P19" s="13" t="n"/>
    </row>
    <row r="20">
      <c r="A20" s="11" t="inlineStr">
        <is>
          <t>B018</t>
        </is>
      </c>
      <c r="B20" s="11" t="n"/>
      <c r="C20" s="11" t="n"/>
      <c r="D20" s="11" t="n"/>
      <c r="E20" s="11" t="n"/>
      <c r="F20" s="11" t="n"/>
      <c r="G20" s="11" t="n"/>
      <c r="H20" s="11" t="n"/>
      <c r="I20" s="13" t="n"/>
      <c r="J20" s="13" t="n"/>
      <c r="K20" s="13" t="n"/>
      <c r="L20" s="13" t="n"/>
      <c r="M20" s="14" t="n"/>
      <c r="N20" s="11" t="n"/>
      <c r="O20" s="11" t="n"/>
      <c r="P20" s="13" t="n"/>
    </row>
    <row r="21">
      <c r="A21" s="11" t="inlineStr">
        <is>
          <t>B019</t>
        </is>
      </c>
      <c r="B21" s="11" t="n"/>
      <c r="C21" s="11" t="n"/>
      <c r="D21" s="11" t="n"/>
      <c r="E21" s="11" t="n"/>
      <c r="F21" s="11" t="n"/>
      <c r="G21" s="11" t="n"/>
      <c r="H21" s="11" t="n"/>
      <c r="I21" s="13" t="n"/>
      <c r="J21" s="13" t="n"/>
      <c r="K21" s="13" t="n"/>
      <c r="L21" s="13" t="n"/>
      <c r="M21" s="14" t="n"/>
      <c r="N21" s="11" t="n"/>
      <c r="O21" s="11" t="n"/>
      <c r="P21" s="13" t="n"/>
    </row>
    <row r="22">
      <c r="A22" s="11" t="inlineStr">
        <is>
          <t>B020</t>
        </is>
      </c>
      <c r="B22" s="11" t="n"/>
      <c r="C22" s="11" t="n"/>
      <c r="D22" s="11" t="n"/>
      <c r="E22" s="11" t="n"/>
      <c r="F22" s="11" t="n"/>
      <c r="G22" s="11" t="n"/>
      <c r="H22" s="11" t="n"/>
      <c r="I22" s="13" t="n"/>
      <c r="J22" s="13" t="n"/>
      <c r="K22" s="13" t="n"/>
      <c r="L22" s="13" t="n"/>
      <c r="M22" s="14" t="n"/>
      <c r="N22" s="11" t="n"/>
      <c r="O22" s="11" t="n"/>
      <c r="P22" s="13" t="n"/>
    </row>
    <row r="23">
      <c r="A23" s="11" t="inlineStr">
        <is>
          <t>B021</t>
        </is>
      </c>
      <c r="B23" s="11" t="n"/>
      <c r="C23" s="11" t="n"/>
      <c r="D23" s="11" t="n"/>
      <c r="E23" s="11" t="n"/>
      <c r="F23" s="11" t="n"/>
      <c r="G23" s="11" t="n"/>
      <c r="H23" s="11" t="n"/>
      <c r="I23" s="13" t="n"/>
      <c r="J23" s="13" t="n"/>
      <c r="K23" s="13" t="n"/>
      <c r="L23" s="13" t="n"/>
      <c r="M23" s="14" t="n"/>
      <c r="N23" s="11" t="n"/>
      <c r="O23" s="11" t="n"/>
      <c r="P23" s="13" t="n"/>
    </row>
    <row r="24">
      <c r="A24" s="11" t="inlineStr">
        <is>
          <t>B022</t>
        </is>
      </c>
      <c r="B24" s="11" t="n"/>
      <c r="C24" s="11" t="n"/>
      <c r="D24" s="11" t="n"/>
      <c r="E24" s="11" t="n"/>
      <c r="F24" s="11" t="n"/>
      <c r="G24" s="11" t="n"/>
      <c r="H24" s="11" t="n"/>
      <c r="I24" s="13" t="n"/>
      <c r="J24" s="13" t="n"/>
      <c r="K24" s="13" t="n"/>
      <c r="L24" s="13" t="n"/>
      <c r="M24" s="14" t="n"/>
      <c r="N24" s="11" t="n"/>
      <c r="O24" s="11" t="n"/>
      <c r="P24" s="13" t="n"/>
    </row>
    <row r="25">
      <c r="A25" s="11" t="inlineStr">
        <is>
          <t>B023</t>
        </is>
      </c>
      <c r="B25" s="11" t="n"/>
      <c r="C25" s="11" t="n"/>
      <c r="D25" s="11" t="n"/>
      <c r="E25" s="11" t="n"/>
      <c r="F25" s="11" t="n"/>
      <c r="G25" s="11" t="n"/>
      <c r="H25" s="11" t="n"/>
      <c r="I25" s="13" t="n"/>
      <c r="J25" s="13" t="n"/>
      <c r="K25" s="13" t="n"/>
      <c r="L25" s="13" t="n"/>
      <c r="M25" s="14" t="n"/>
      <c r="N25" s="11" t="n"/>
      <c r="O25" s="11" t="n"/>
      <c r="P25" s="13" t="n"/>
    </row>
    <row r="26">
      <c r="A26" s="11" t="inlineStr">
        <is>
          <t>B024</t>
        </is>
      </c>
      <c r="B26" s="11" t="n"/>
      <c r="C26" s="11" t="n"/>
      <c r="D26" s="11" t="n"/>
      <c r="E26" s="11" t="n"/>
      <c r="F26" s="11" t="n"/>
      <c r="G26" s="11" t="n"/>
      <c r="H26" s="11" t="n"/>
      <c r="I26" s="13" t="n"/>
      <c r="J26" s="13" t="n"/>
      <c r="K26" s="13" t="n"/>
      <c r="L26" s="13" t="n"/>
      <c r="M26" s="14" t="n"/>
      <c r="N26" s="11" t="n"/>
      <c r="O26" s="11" t="n"/>
      <c r="P26" s="13" t="n"/>
    </row>
    <row r="27">
      <c r="A27" s="11" t="inlineStr">
        <is>
          <t>B025</t>
        </is>
      </c>
      <c r="B27" s="11" t="n"/>
      <c r="C27" s="11" t="n"/>
      <c r="D27" s="11" t="n"/>
      <c r="E27" s="11" t="n"/>
      <c r="F27" s="11" t="n"/>
      <c r="G27" s="11" t="n"/>
      <c r="H27" s="11" t="n"/>
      <c r="I27" s="13" t="n"/>
      <c r="J27" s="13" t="n"/>
      <c r="K27" s="13" t="n"/>
      <c r="L27" s="13" t="n"/>
      <c r="M27" s="14" t="n"/>
      <c r="N27" s="11" t="n"/>
      <c r="O27" s="11" t="n"/>
      <c r="P27" s="13" t="n"/>
    </row>
    <row r="28">
      <c r="A28" s="11" t="inlineStr">
        <is>
          <t>B026</t>
        </is>
      </c>
      <c r="B28" s="11" t="n"/>
      <c r="C28" s="11" t="n"/>
      <c r="D28" s="11" t="n"/>
      <c r="E28" s="11" t="n"/>
      <c r="F28" s="11" t="n"/>
      <c r="G28" s="11" t="n"/>
      <c r="H28" s="11" t="n"/>
      <c r="I28" s="13" t="n"/>
      <c r="J28" s="13" t="n"/>
      <c r="K28" s="13" t="n"/>
      <c r="L28" s="13" t="n"/>
      <c r="M28" s="14" t="n"/>
      <c r="N28" s="11" t="n"/>
      <c r="O28" s="11" t="n"/>
      <c r="P28" s="13" t="n"/>
    </row>
    <row r="29">
      <c r="A29" s="11" t="inlineStr">
        <is>
          <t>B027</t>
        </is>
      </c>
      <c r="B29" s="11" t="n"/>
      <c r="C29" s="11" t="n"/>
      <c r="D29" s="11" t="n"/>
      <c r="E29" s="11" t="n"/>
      <c r="F29" s="11" t="n"/>
      <c r="G29" s="11" t="n"/>
      <c r="H29" s="11" t="n"/>
      <c r="I29" s="13" t="n"/>
      <c r="J29" s="13" t="n"/>
      <c r="K29" s="13" t="n"/>
      <c r="L29" s="13" t="n"/>
      <c r="M29" s="14" t="n"/>
      <c r="N29" s="11" t="n"/>
      <c r="O29" s="11" t="n"/>
      <c r="P29" s="13" t="n"/>
    </row>
    <row r="30">
      <c r="A30" s="11" t="inlineStr">
        <is>
          <t>B028</t>
        </is>
      </c>
      <c r="B30" s="11" t="n"/>
      <c r="C30" s="11" t="n"/>
      <c r="D30" s="11" t="n"/>
      <c r="E30" s="11" t="n"/>
      <c r="F30" s="11" t="n"/>
      <c r="G30" s="11" t="n"/>
      <c r="H30" s="11" t="n"/>
      <c r="I30" s="13" t="n"/>
      <c r="J30" s="13" t="n"/>
      <c r="K30" s="13" t="n"/>
      <c r="L30" s="13" t="n"/>
      <c r="M30" s="14" t="n"/>
      <c r="N30" s="11" t="n"/>
      <c r="O30" s="11" t="n"/>
      <c r="P30" s="13" t="n"/>
    </row>
    <row r="31">
      <c r="A31" s="11" t="inlineStr">
        <is>
          <t>B029</t>
        </is>
      </c>
      <c r="B31" s="11" t="n"/>
      <c r="C31" s="11" t="n"/>
      <c r="D31" s="11" t="n"/>
      <c r="E31" s="11" t="n"/>
      <c r="F31" s="11" t="n"/>
      <c r="G31" s="11" t="n"/>
      <c r="H31" s="11" t="n"/>
      <c r="I31" s="13" t="n"/>
      <c r="J31" s="13" t="n"/>
      <c r="K31" s="13" t="n"/>
      <c r="L31" s="13" t="n"/>
      <c r="M31" s="14" t="n"/>
      <c r="N31" s="11" t="n"/>
      <c r="O31" s="11" t="n"/>
      <c r="P31" s="13" t="n"/>
    </row>
    <row r="32">
      <c r="A32" s="11" t="inlineStr">
        <is>
          <t>B030</t>
        </is>
      </c>
      <c r="B32" s="11" t="n"/>
      <c r="C32" s="11" t="n"/>
      <c r="D32" s="11" t="n"/>
      <c r="E32" s="11" t="n"/>
      <c r="F32" s="11" t="n"/>
      <c r="G32" s="11" t="n"/>
      <c r="H32" s="11" t="n"/>
      <c r="I32" s="13" t="n"/>
      <c r="J32" s="13" t="n"/>
      <c r="K32" s="13" t="n"/>
      <c r="L32" s="13" t="n"/>
      <c r="M32" s="14" t="n"/>
      <c r="N32" s="11" t="n"/>
      <c r="O32" s="11" t="n"/>
      <c r="P32" s="13" t="n"/>
    </row>
    <row r="33">
      <c r="A33" s="11" t="inlineStr">
        <is>
          <t>B031</t>
        </is>
      </c>
      <c r="B33" s="11" t="n"/>
      <c r="C33" s="11" t="n"/>
      <c r="D33" s="11" t="n"/>
      <c r="E33" s="11" t="n"/>
      <c r="F33" s="11" t="n"/>
      <c r="G33" s="11" t="n"/>
      <c r="H33" s="11" t="n"/>
      <c r="I33" s="13" t="n"/>
      <c r="J33" s="13" t="n"/>
      <c r="K33" s="13" t="n"/>
      <c r="L33" s="13" t="n"/>
      <c r="M33" s="14" t="n"/>
      <c r="N33" s="11" t="n"/>
      <c r="O33" s="11" t="n"/>
      <c r="P33" s="13" t="n"/>
    </row>
    <row r="34">
      <c r="A34" s="11" t="inlineStr">
        <is>
          <t>B032</t>
        </is>
      </c>
      <c r="B34" s="11" t="n"/>
      <c r="C34" s="11" t="n"/>
      <c r="D34" s="11" t="n"/>
      <c r="E34" s="11" t="n"/>
      <c r="F34" s="11" t="n"/>
      <c r="G34" s="11" t="n"/>
      <c r="H34" s="11" t="n"/>
      <c r="I34" s="13" t="n"/>
      <c r="J34" s="13" t="n"/>
      <c r="K34" s="13" t="n"/>
      <c r="L34" s="13" t="n"/>
      <c r="M34" s="14" t="n"/>
      <c r="N34" s="11" t="n"/>
      <c r="O34" s="11" t="n"/>
      <c r="P34" s="13" t="n"/>
    </row>
    <row r="35">
      <c r="A35" s="11" t="inlineStr">
        <is>
          <t>B033</t>
        </is>
      </c>
      <c r="B35" s="11" t="n"/>
      <c r="C35" s="11" t="n"/>
      <c r="D35" s="11" t="n"/>
      <c r="E35" s="11" t="n"/>
      <c r="F35" s="11" t="n"/>
      <c r="G35" s="11" t="n"/>
      <c r="H35" s="11" t="n"/>
      <c r="I35" s="13" t="n"/>
      <c r="J35" s="13" t="n"/>
      <c r="K35" s="13" t="n"/>
      <c r="L35" s="13" t="n"/>
      <c r="M35" s="14" t="n"/>
      <c r="N35" s="11" t="n"/>
      <c r="O35" s="11" t="n"/>
      <c r="P35" s="13" t="n"/>
    </row>
    <row r="36">
      <c r="A36" s="11" t="inlineStr">
        <is>
          <t>B034</t>
        </is>
      </c>
      <c r="B36" s="11" t="n"/>
      <c r="C36" s="11" t="n"/>
      <c r="D36" s="11" t="n"/>
      <c r="E36" s="11" t="n"/>
      <c r="F36" s="11" t="n"/>
      <c r="G36" s="11" t="n"/>
      <c r="H36" s="11" t="n"/>
      <c r="I36" s="13" t="n"/>
      <c r="J36" s="13" t="n"/>
      <c r="K36" s="13" t="n"/>
      <c r="L36" s="13" t="n"/>
      <c r="M36" s="14" t="n"/>
      <c r="N36" s="11" t="n"/>
      <c r="O36" s="11" t="n"/>
      <c r="P36" s="13" t="n"/>
    </row>
    <row r="37">
      <c r="A37" s="11" t="inlineStr">
        <is>
          <t>B035</t>
        </is>
      </c>
      <c r="B37" s="11" t="n"/>
      <c r="C37" s="11" t="n"/>
      <c r="D37" s="11" t="n"/>
      <c r="E37" s="11" t="n"/>
      <c r="F37" s="11" t="n"/>
      <c r="G37" s="11" t="n"/>
      <c r="H37" s="11" t="n"/>
      <c r="I37" s="13" t="n"/>
      <c r="J37" s="13" t="n"/>
      <c r="K37" s="13" t="n"/>
      <c r="L37" s="13" t="n"/>
      <c r="M37" s="14" t="n"/>
      <c r="N37" s="11" t="n"/>
      <c r="O37" s="11" t="n"/>
      <c r="P37" s="13" t="n"/>
    </row>
    <row r="38">
      <c r="A38" s="11" t="inlineStr">
        <is>
          <t>B036</t>
        </is>
      </c>
      <c r="B38" s="11" t="n"/>
      <c r="C38" s="11" t="n"/>
      <c r="D38" s="11" t="n"/>
      <c r="E38" s="11" t="n"/>
      <c r="F38" s="11" t="n"/>
      <c r="G38" s="11" t="n"/>
      <c r="H38" s="11" t="n"/>
      <c r="I38" s="13" t="n"/>
      <c r="J38" s="13" t="n"/>
      <c r="K38" s="13" t="n"/>
      <c r="L38" s="13" t="n"/>
      <c r="M38" s="14" t="n"/>
      <c r="N38" s="11" t="n"/>
      <c r="O38" s="11" t="n"/>
      <c r="P38" s="13" t="n"/>
    </row>
    <row r="39">
      <c r="A39" s="11" t="inlineStr">
        <is>
          <t>B037</t>
        </is>
      </c>
      <c r="B39" s="11" t="n"/>
      <c r="C39" s="11" t="n"/>
      <c r="D39" s="11" t="n"/>
      <c r="E39" s="11" t="n"/>
      <c r="F39" s="11" t="n"/>
      <c r="G39" s="11" t="n"/>
      <c r="H39" s="11" t="n"/>
      <c r="I39" s="13" t="n"/>
      <c r="J39" s="13" t="n"/>
      <c r="K39" s="13" t="n"/>
      <c r="L39" s="13" t="n"/>
      <c r="M39" s="14" t="n"/>
      <c r="N39" s="11" t="n"/>
      <c r="O39" s="11" t="n"/>
      <c r="P39" s="13" t="n"/>
    </row>
    <row r="40">
      <c r="A40" s="11" t="inlineStr">
        <is>
          <t>B038</t>
        </is>
      </c>
      <c r="B40" s="11" t="n"/>
      <c r="C40" s="11" t="n"/>
      <c r="D40" s="11" t="n"/>
      <c r="E40" s="11" t="n"/>
      <c r="F40" s="11" t="n"/>
      <c r="G40" s="11" t="n"/>
      <c r="H40" s="11" t="n"/>
      <c r="I40" s="13" t="n"/>
      <c r="J40" s="13" t="n"/>
      <c r="K40" s="13" t="n"/>
      <c r="L40" s="13" t="n"/>
      <c r="M40" s="14" t="n"/>
      <c r="N40" s="11" t="n"/>
      <c r="O40" s="11" t="n"/>
      <c r="P40" s="13" t="n"/>
    </row>
    <row r="41">
      <c r="A41" s="11" t="inlineStr">
        <is>
          <t>B039</t>
        </is>
      </c>
      <c r="B41" s="11" t="n"/>
      <c r="C41" s="11" t="n"/>
      <c r="D41" s="11" t="n"/>
      <c r="E41" s="11" t="n"/>
      <c r="F41" s="11" t="n"/>
      <c r="G41" s="11" t="n"/>
      <c r="H41" s="11" t="n"/>
      <c r="I41" s="13" t="n"/>
      <c r="J41" s="13" t="n"/>
      <c r="K41" s="13" t="n"/>
      <c r="L41" s="13" t="n"/>
      <c r="M41" s="14" t="n"/>
      <c r="N41" s="11" t="n"/>
      <c r="O41" s="11" t="n"/>
      <c r="P41" s="13" t="n"/>
    </row>
    <row r="42">
      <c r="A42" s="11" t="inlineStr">
        <is>
          <t>B040</t>
        </is>
      </c>
      <c r="B42" s="11" t="n"/>
      <c r="C42" s="11" t="n"/>
      <c r="D42" s="11" t="n"/>
      <c r="E42" s="11" t="n"/>
      <c r="F42" s="11" t="n"/>
      <c r="G42" s="11" t="n"/>
      <c r="H42" s="11" t="n"/>
      <c r="I42" s="13" t="n"/>
      <c r="J42" s="13" t="n"/>
      <c r="K42" s="13" t="n"/>
      <c r="L42" s="13" t="n"/>
      <c r="M42" s="14" t="n"/>
      <c r="N42" s="11" t="n"/>
      <c r="O42" s="11" t="n"/>
      <c r="P42" s="13" t="n"/>
    </row>
    <row r="43">
      <c r="A43" s="11" t="inlineStr">
        <is>
          <t>B041</t>
        </is>
      </c>
      <c r="B43" s="11" t="n"/>
      <c r="C43" s="11" t="n"/>
      <c r="D43" s="11" t="n"/>
      <c r="E43" s="11" t="n"/>
      <c r="F43" s="11" t="n"/>
      <c r="G43" s="11" t="n"/>
      <c r="H43" s="11" t="n"/>
      <c r="I43" s="13" t="n"/>
      <c r="J43" s="13" t="n"/>
      <c r="K43" s="13" t="n"/>
      <c r="L43" s="13" t="n"/>
      <c r="M43" s="14" t="n"/>
      <c r="N43" s="11" t="n"/>
      <c r="O43" s="11" t="n"/>
      <c r="P43" s="13" t="n"/>
    </row>
    <row r="44">
      <c r="A44" s="11" t="inlineStr">
        <is>
          <t>B042</t>
        </is>
      </c>
      <c r="B44" s="11" t="n"/>
      <c r="C44" s="11" t="n"/>
      <c r="D44" s="11" t="n"/>
      <c r="E44" s="11" t="n"/>
      <c r="F44" s="11" t="n"/>
      <c r="G44" s="11" t="n"/>
      <c r="H44" s="11" t="n"/>
      <c r="I44" s="13" t="n"/>
      <c r="J44" s="13" t="n"/>
      <c r="K44" s="13" t="n"/>
      <c r="L44" s="13" t="n"/>
      <c r="M44" s="14" t="n"/>
      <c r="N44" s="11" t="n"/>
      <c r="O44" s="11" t="n"/>
      <c r="P44" s="13" t="n"/>
    </row>
    <row r="45">
      <c r="A45" s="11" t="inlineStr">
        <is>
          <t>B043</t>
        </is>
      </c>
      <c r="B45" s="11" t="n"/>
      <c r="C45" s="11" t="n"/>
      <c r="D45" s="11" t="n"/>
      <c r="E45" s="11" t="n"/>
      <c r="F45" s="11" t="n"/>
      <c r="G45" s="11" t="n"/>
      <c r="H45" s="11" t="n"/>
      <c r="I45" s="13" t="n"/>
      <c r="J45" s="13" t="n"/>
      <c r="K45" s="13" t="n"/>
      <c r="L45" s="13" t="n"/>
      <c r="M45" s="14" t="n"/>
      <c r="N45" s="11" t="n"/>
      <c r="O45" s="11" t="n"/>
      <c r="P45" s="13" t="n"/>
    </row>
    <row r="46">
      <c r="A46" s="11" t="inlineStr">
        <is>
          <t>B044</t>
        </is>
      </c>
      <c r="B46" s="11" t="n"/>
      <c r="C46" s="11" t="n"/>
      <c r="D46" s="11" t="n"/>
      <c r="E46" s="11" t="n"/>
      <c r="F46" s="11" t="n"/>
      <c r="G46" s="11" t="n"/>
      <c r="H46" s="11" t="n"/>
      <c r="I46" s="13" t="n"/>
      <c r="J46" s="13" t="n"/>
      <c r="K46" s="13" t="n"/>
      <c r="L46" s="13" t="n"/>
      <c r="M46" s="14" t="n"/>
      <c r="N46" s="11" t="n"/>
      <c r="O46" s="11" t="n"/>
      <c r="P46" s="13" t="n"/>
    </row>
    <row r="47">
      <c r="A47" s="11" t="inlineStr">
        <is>
          <t>B045</t>
        </is>
      </c>
      <c r="B47" s="11" t="n"/>
      <c r="C47" s="11" t="n"/>
      <c r="D47" s="11" t="n"/>
      <c r="E47" s="11" t="n"/>
      <c r="F47" s="11" t="n"/>
      <c r="G47" s="11" t="n"/>
      <c r="H47" s="11" t="n"/>
      <c r="I47" s="13" t="n"/>
      <c r="J47" s="13" t="n"/>
      <c r="K47" s="13" t="n"/>
      <c r="L47" s="13" t="n"/>
      <c r="M47" s="14" t="n"/>
      <c r="N47" s="11" t="n"/>
      <c r="O47" s="11" t="n"/>
      <c r="P47" s="13" t="n"/>
    </row>
    <row r="48">
      <c r="A48" s="11" t="inlineStr">
        <is>
          <t>B046</t>
        </is>
      </c>
      <c r="B48" s="11" t="n"/>
      <c r="C48" s="11" t="n"/>
      <c r="D48" s="11" t="n"/>
      <c r="E48" s="11" t="n"/>
      <c r="F48" s="11" t="n"/>
      <c r="G48" s="11" t="n"/>
      <c r="H48" s="11" t="n"/>
      <c r="I48" s="13" t="n"/>
      <c r="J48" s="13" t="n"/>
      <c r="K48" s="13" t="n"/>
      <c r="L48" s="13" t="n"/>
      <c r="M48" s="14" t="n"/>
      <c r="N48" s="11" t="n"/>
      <c r="O48" s="11" t="n"/>
      <c r="P48" s="13" t="n"/>
    </row>
    <row r="49">
      <c r="A49" s="11" t="inlineStr">
        <is>
          <t>B047</t>
        </is>
      </c>
      <c r="B49" s="11" t="n"/>
      <c r="C49" s="11" t="n"/>
      <c r="D49" s="11" t="n"/>
      <c r="E49" s="11" t="n"/>
      <c r="F49" s="11" t="n"/>
      <c r="G49" s="11" t="n"/>
      <c r="H49" s="11" t="n"/>
      <c r="I49" s="13" t="n"/>
      <c r="J49" s="13" t="n"/>
      <c r="K49" s="13" t="n"/>
      <c r="L49" s="13" t="n"/>
      <c r="M49" s="14" t="n"/>
      <c r="N49" s="11" t="n"/>
      <c r="O49" s="11" t="n"/>
      <c r="P49" s="13" t="n"/>
    </row>
    <row r="50">
      <c r="A50" s="11" t="inlineStr">
        <is>
          <t>B048</t>
        </is>
      </c>
      <c r="B50" s="11" t="n"/>
      <c r="C50" s="11" t="n"/>
      <c r="D50" s="11" t="n"/>
      <c r="E50" s="11" t="n"/>
      <c r="F50" s="11" t="n"/>
      <c r="G50" s="11" t="n"/>
      <c r="H50" s="11" t="n"/>
      <c r="I50" s="13" t="n"/>
      <c r="J50" s="13" t="n"/>
      <c r="K50" s="13" t="n"/>
      <c r="L50" s="13" t="n"/>
      <c r="M50" s="14" t="n"/>
      <c r="N50" s="11" t="n"/>
      <c r="O50" s="11" t="n"/>
      <c r="P50" s="13" t="n"/>
    </row>
    <row r="51">
      <c r="A51" s="11" t="inlineStr">
        <is>
          <t>B049</t>
        </is>
      </c>
      <c r="B51" s="11" t="n"/>
      <c r="C51" s="11" t="n"/>
      <c r="D51" s="11" t="n"/>
      <c r="E51" s="11" t="n"/>
      <c r="F51" s="11" t="n"/>
      <c r="G51" s="11" t="n"/>
      <c r="H51" s="11" t="n"/>
      <c r="I51" s="13" t="n"/>
      <c r="J51" s="13" t="n"/>
      <c r="K51" s="13" t="n"/>
      <c r="L51" s="13" t="n"/>
      <c r="M51" s="14" t="n"/>
      <c r="N51" s="11" t="n"/>
      <c r="O51" s="11" t="n"/>
      <c r="P51" s="13" t="n"/>
    </row>
    <row r="52">
      <c r="A52" s="11" t="inlineStr">
        <is>
          <t>B050</t>
        </is>
      </c>
      <c r="B52" s="11" t="n"/>
      <c r="C52" s="11" t="n"/>
      <c r="D52" s="11" t="n"/>
      <c r="E52" s="11" t="n"/>
      <c r="F52" s="11" t="n"/>
      <c r="G52" s="11" t="n"/>
      <c r="H52" s="11" t="n"/>
      <c r="I52" s="13" t="n"/>
      <c r="J52" s="13" t="n"/>
      <c r="K52" s="13" t="n"/>
      <c r="L52" s="13" t="n"/>
      <c r="M52" s="14" t="n"/>
      <c r="N52" s="11" t="n"/>
      <c r="O52" s="11" t="n"/>
      <c r="P52" s="13" t="n"/>
    </row>
    <row r="53">
      <c r="A53" s="11" t="inlineStr">
        <is>
          <t>B051</t>
        </is>
      </c>
      <c r="B53" s="11" t="n"/>
      <c r="C53" s="11" t="n"/>
      <c r="D53" s="11" t="n"/>
      <c r="E53" s="11" t="n"/>
      <c r="F53" s="11" t="n"/>
      <c r="G53" s="11" t="n"/>
      <c r="H53" s="11" t="n"/>
      <c r="I53" s="13" t="n"/>
      <c r="J53" s="13" t="n"/>
      <c r="K53" s="13" t="n"/>
      <c r="L53" s="13" t="n"/>
      <c r="M53" s="14" t="n"/>
      <c r="N53" s="11" t="n"/>
      <c r="O53" s="11" t="n"/>
      <c r="P53" s="13" t="n"/>
    </row>
    <row r="54">
      <c r="A54" s="11" t="inlineStr">
        <is>
          <t>B052</t>
        </is>
      </c>
      <c r="B54" s="11" t="n"/>
      <c r="C54" s="11" t="n"/>
      <c r="D54" s="11" t="n"/>
      <c r="E54" s="11" t="n"/>
      <c r="F54" s="11" t="n"/>
      <c r="G54" s="11" t="n"/>
      <c r="H54" s="11" t="n"/>
      <c r="I54" s="13" t="n"/>
      <c r="J54" s="13" t="n"/>
      <c r="K54" s="13" t="n"/>
      <c r="L54" s="13" t="n"/>
      <c r="M54" s="14" t="n"/>
      <c r="N54" s="11" t="n"/>
      <c r="O54" s="11" t="n"/>
      <c r="P54" s="13" t="n"/>
    </row>
    <row r="55">
      <c r="A55" s="11" t="inlineStr">
        <is>
          <t>B053</t>
        </is>
      </c>
      <c r="B55" s="11" t="n"/>
      <c r="C55" s="11" t="n"/>
      <c r="D55" s="11" t="n"/>
      <c r="E55" s="11" t="n"/>
      <c r="F55" s="11" t="n"/>
      <c r="G55" s="11" t="n"/>
      <c r="H55" s="11" t="n"/>
      <c r="I55" s="13" t="n"/>
      <c r="J55" s="13" t="n"/>
      <c r="K55" s="13" t="n"/>
      <c r="L55" s="13" t="n"/>
      <c r="M55" s="14" t="n"/>
      <c r="N55" s="11" t="n"/>
      <c r="O55" s="11" t="n"/>
      <c r="P55" s="13" t="n"/>
    </row>
    <row r="56">
      <c r="A56" s="11" t="inlineStr">
        <is>
          <t>B054</t>
        </is>
      </c>
      <c r="B56" s="11" t="n"/>
      <c r="C56" s="11" t="n"/>
      <c r="D56" s="11" t="n"/>
      <c r="E56" s="11" t="n"/>
      <c r="F56" s="11" t="n"/>
      <c r="G56" s="11" t="n"/>
      <c r="H56" s="11" t="n"/>
      <c r="I56" s="13" t="n"/>
      <c r="J56" s="13" t="n"/>
      <c r="K56" s="13" t="n"/>
      <c r="L56" s="13" t="n"/>
      <c r="M56" s="14" t="n"/>
      <c r="N56" s="11" t="n"/>
      <c r="O56" s="11" t="n"/>
      <c r="P56" s="13" t="n"/>
    </row>
    <row r="57">
      <c r="A57" s="11" t="inlineStr">
        <is>
          <t>B055</t>
        </is>
      </c>
      <c r="B57" s="11" t="n"/>
      <c r="C57" s="11" t="n"/>
      <c r="D57" s="11" t="n"/>
      <c r="E57" s="11" t="n"/>
      <c r="F57" s="11" t="n"/>
      <c r="G57" s="11" t="n"/>
      <c r="H57" s="11" t="n"/>
      <c r="I57" s="13" t="n"/>
      <c r="J57" s="13" t="n"/>
      <c r="K57" s="13" t="n"/>
      <c r="L57" s="13" t="n"/>
      <c r="M57" s="14" t="n"/>
      <c r="N57" s="11" t="n"/>
      <c r="O57" s="11" t="n"/>
      <c r="P57" s="13" t="n"/>
    </row>
    <row r="58">
      <c r="A58" s="11" t="inlineStr">
        <is>
          <t>B056</t>
        </is>
      </c>
      <c r="B58" s="11" t="n"/>
      <c r="C58" s="11" t="n"/>
      <c r="D58" s="11" t="n"/>
      <c r="E58" s="11" t="n"/>
      <c r="F58" s="11" t="n"/>
      <c r="G58" s="11" t="n"/>
      <c r="H58" s="11" t="n"/>
      <c r="I58" s="13" t="n"/>
      <c r="J58" s="13" t="n"/>
      <c r="K58" s="13" t="n"/>
      <c r="L58" s="13" t="n"/>
      <c r="M58" s="14" t="n"/>
      <c r="N58" s="11" t="n"/>
      <c r="O58" s="11" t="n"/>
      <c r="P58" s="13" t="n"/>
    </row>
    <row r="59">
      <c r="A59" s="11" t="inlineStr">
        <is>
          <t>B057</t>
        </is>
      </c>
      <c r="B59" s="11" t="n"/>
      <c r="C59" s="11" t="n"/>
      <c r="D59" s="11" t="n"/>
      <c r="E59" s="11" t="n"/>
      <c r="F59" s="11" t="n"/>
      <c r="G59" s="11" t="n"/>
      <c r="H59" s="11" t="n"/>
      <c r="I59" s="13" t="n"/>
      <c r="J59" s="13" t="n"/>
      <c r="K59" s="13" t="n"/>
      <c r="L59" s="13" t="n"/>
      <c r="M59" s="14" t="n"/>
      <c r="N59" s="11" t="n"/>
      <c r="O59" s="11" t="n"/>
      <c r="P59" s="13" t="n"/>
    </row>
    <row r="60">
      <c r="A60" s="11" t="inlineStr">
        <is>
          <t>B058</t>
        </is>
      </c>
      <c r="B60" s="11" t="n"/>
      <c r="C60" s="11" t="n"/>
      <c r="D60" s="11" t="n"/>
      <c r="E60" s="11" t="n"/>
      <c r="F60" s="11" t="n"/>
      <c r="G60" s="11" t="n"/>
      <c r="H60" s="11" t="n"/>
      <c r="I60" s="13" t="n"/>
      <c r="J60" s="13" t="n"/>
      <c r="K60" s="13" t="n"/>
      <c r="L60" s="13" t="n"/>
      <c r="M60" s="14" t="n"/>
      <c r="N60" s="11" t="n"/>
      <c r="O60" s="11" t="n"/>
      <c r="P60" s="13" t="n"/>
    </row>
    <row r="61">
      <c r="A61" s="11" t="inlineStr">
        <is>
          <t>B059</t>
        </is>
      </c>
      <c r="B61" s="11" t="n"/>
      <c r="C61" s="11" t="n"/>
      <c r="D61" s="11" t="n"/>
      <c r="E61" s="11" t="n"/>
      <c r="F61" s="11" t="n"/>
      <c r="G61" s="11" t="n"/>
      <c r="H61" s="11" t="n"/>
      <c r="I61" s="13" t="n"/>
      <c r="J61" s="13" t="n"/>
      <c r="K61" s="13" t="n"/>
      <c r="L61" s="13" t="n"/>
      <c r="M61" s="14" t="n"/>
      <c r="N61" s="11" t="n"/>
      <c r="O61" s="11" t="n"/>
      <c r="P61" s="13" t="n"/>
    </row>
    <row r="62">
      <c r="A62" s="11" t="inlineStr">
        <is>
          <t>B060</t>
        </is>
      </c>
      <c r="B62" s="11" t="n"/>
      <c r="C62" s="11" t="n"/>
      <c r="D62" s="11" t="n"/>
      <c r="E62" s="11" t="n"/>
      <c r="F62" s="11" t="n"/>
      <c r="G62" s="11" t="n"/>
      <c r="H62" s="11" t="n"/>
      <c r="I62" s="13" t="n"/>
      <c r="J62" s="13" t="n"/>
      <c r="K62" s="13" t="n"/>
      <c r="L62" s="13" t="n"/>
      <c r="M62" s="14" t="n"/>
      <c r="N62" s="11" t="n"/>
      <c r="O62" s="11" t="n"/>
      <c r="P62" s="13" t="n"/>
    </row>
    <row r="63">
      <c r="A63" s="11" t="inlineStr">
        <is>
          <t>B061</t>
        </is>
      </c>
      <c r="B63" s="11" t="n"/>
      <c r="C63" s="11" t="n"/>
      <c r="D63" s="11" t="n"/>
      <c r="E63" s="11" t="n"/>
      <c r="F63" s="11" t="n"/>
      <c r="G63" s="11" t="n"/>
      <c r="H63" s="11" t="n"/>
      <c r="I63" s="13" t="n"/>
      <c r="J63" s="13" t="n"/>
      <c r="K63" s="13" t="n"/>
      <c r="L63" s="13" t="n"/>
      <c r="M63" s="14" t="n"/>
      <c r="N63" s="11" t="n"/>
      <c r="O63" s="11" t="n"/>
      <c r="P63" s="13" t="n"/>
    </row>
    <row r="64">
      <c r="A64" s="11" t="inlineStr">
        <is>
          <t>B062</t>
        </is>
      </c>
      <c r="B64" s="11" t="n"/>
      <c r="C64" s="11" t="n"/>
      <c r="D64" s="11" t="n"/>
      <c r="E64" s="11" t="n"/>
      <c r="F64" s="11" t="n"/>
      <c r="G64" s="11" t="n"/>
      <c r="H64" s="11" t="n"/>
      <c r="I64" s="13" t="n"/>
      <c r="J64" s="13" t="n"/>
      <c r="K64" s="13" t="n"/>
      <c r="L64" s="13" t="n"/>
      <c r="M64" s="14" t="n"/>
      <c r="N64" s="11" t="n"/>
      <c r="O64" s="11" t="n"/>
      <c r="P64" s="13" t="n"/>
    </row>
    <row r="65">
      <c r="A65" s="11" t="inlineStr">
        <is>
          <t>B063</t>
        </is>
      </c>
      <c r="B65" s="11" t="n"/>
      <c r="C65" s="11" t="n"/>
      <c r="D65" s="11" t="n"/>
      <c r="E65" s="11" t="n"/>
      <c r="F65" s="11" t="n"/>
      <c r="G65" s="11" t="n"/>
      <c r="H65" s="11" t="n"/>
      <c r="I65" s="13" t="n"/>
      <c r="J65" s="13" t="n"/>
      <c r="K65" s="13" t="n"/>
      <c r="L65" s="13" t="n"/>
      <c r="M65" s="14" t="n"/>
      <c r="N65" s="11" t="n"/>
      <c r="O65" s="11" t="n"/>
      <c r="P65" s="13" t="n"/>
    </row>
    <row r="66">
      <c r="A66" s="11" t="inlineStr">
        <is>
          <t>B064</t>
        </is>
      </c>
      <c r="B66" s="11" t="n"/>
      <c r="C66" s="11" t="n"/>
      <c r="D66" s="11" t="n"/>
      <c r="E66" s="11" t="n"/>
      <c r="F66" s="11" t="n"/>
      <c r="G66" s="11" t="n"/>
      <c r="H66" s="11" t="n"/>
      <c r="I66" s="13" t="n"/>
      <c r="J66" s="13" t="n"/>
      <c r="K66" s="13" t="n"/>
      <c r="L66" s="13" t="n"/>
      <c r="M66" s="14" t="n"/>
      <c r="N66" s="11" t="n"/>
      <c r="O66" s="11" t="n"/>
      <c r="P66" s="13" t="n"/>
    </row>
    <row r="67">
      <c r="A67" s="11" t="inlineStr">
        <is>
          <t>B065</t>
        </is>
      </c>
      <c r="B67" s="11" t="n"/>
      <c r="C67" s="11" t="n"/>
      <c r="D67" s="11" t="n"/>
      <c r="E67" s="11" t="n"/>
      <c r="F67" s="11" t="n"/>
      <c r="G67" s="11" t="n"/>
      <c r="H67" s="11" t="n"/>
      <c r="I67" s="13" t="n"/>
      <c r="J67" s="13" t="n"/>
      <c r="K67" s="13" t="n"/>
      <c r="L67" s="13" t="n"/>
      <c r="M67" s="14" t="n"/>
      <c r="N67" s="11" t="n"/>
      <c r="O67" s="11" t="n"/>
      <c r="P67" s="13" t="n"/>
    </row>
    <row r="68">
      <c r="A68" s="11" t="inlineStr">
        <is>
          <t>B066</t>
        </is>
      </c>
      <c r="B68" s="11" t="n"/>
      <c r="C68" s="11" t="n"/>
      <c r="D68" s="11" t="n"/>
      <c r="E68" s="11" t="n"/>
      <c r="F68" s="11" t="n"/>
      <c r="G68" s="11" t="n"/>
      <c r="H68" s="11" t="n"/>
      <c r="I68" s="13" t="n"/>
      <c r="J68" s="13" t="n"/>
      <c r="K68" s="13" t="n"/>
      <c r="L68" s="13" t="n"/>
      <c r="M68" s="14" t="n"/>
      <c r="N68" s="11" t="n"/>
      <c r="O68" s="11" t="n"/>
      <c r="P68" s="13" t="n"/>
    </row>
    <row r="69">
      <c r="A69" s="11" t="inlineStr">
        <is>
          <t>B067</t>
        </is>
      </c>
      <c r="B69" s="11" t="n"/>
      <c r="C69" s="11" t="n"/>
      <c r="D69" s="11" t="n"/>
      <c r="E69" s="11" t="n"/>
      <c r="F69" s="11" t="n"/>
      <c r="G69" s="11" t="n"/>
      <c r="H69" s="11" t="n"/>
      <c r="I69" s="13" t="n"/>
      <c r="J69" s="13" t="n"/>
      <c r="K69" s="13" t="n"/>
      <c r="L69" s="13" t="n"/>
      <c r="M69" s="14" t="n"/>
      <c r="N69" s="11" t="n"/>
      <c r="O69" s="11" t="n"/>
      <c r="P69" s="13" t="n"/>
    </row>
    <row r="70">
      <c r="A70" s="11" t="inlineStr">
        <is>
          <t>B068</t>
        </is>
      </c>
      <c r="B70" s="11" t="n"/>
      <c r="C70" s="11" t="n"/>
      <c r="D70" s="11" t="n"/>
      <c r="E70" s="11" t="n"/>
      <c r="F70" s="11" t="n"/>
      <c r="G70" s="11" t="n"/>
      <c r="H70" s="11" t="n"/>
      <c r="I70" s="13" t="n"/>
      <c r="J70" s="13" t="n"/>
      <c r="K70" s="13" t="n"/>
      <c r="L70" s="13" t="n"/>
      <c r="M70" s="14" t="n"/>
      <c r="N70" s="11" t="n"/>
      <c r="O70" s="11" t="n"/>
      <c r="P70" s="13" t="n"/>
    </row>
    <row r="71">
      <c r="A71" s="11" t="inlineStr">
        <is>
          <t>B069</t>
        </is>
      </c>
      <c r="B71" s="11" t="n"/>
      <c r="C71" s="11" t="n"/>
      <c r="D71" s="11" t="n"/>
      <c r="E71" s="11" t="n"/>
      <c r="F71" s="11" t="n"/>
      <c r="G71" s="11" t="n"/>
      <c r="H71" s="11" t="n"/>
      <c r="I71" s="13" t="n"/>
      <c r="J71" s="13" t="n"/>
      <c r="K71" s="13" t="n"/>
      <c r="L71" s="13" t="n"/>
      <c r="M71" s="14" t="n"/>
      <c r="N71" s="11" t="n"/>
      <c r="O71" s="11" t="n"/>
      <c r="P71" s="13" t="n"/>
    </row>
    <row r="72">
      <c r="A72" s="11" t="inlineStr">
        <is>
          <t>B070</t>
        </is>
      </c>
      <c r="B72" s="11" t="n"/>
      <c r="C72" s="11" t="n"/>
      <c r="D72" s="11" t="n"/>
      <c r="E72" s="11" t="n"/>
      <c r="F72" s="11" t="n"/>
      <c r="G72" s="11" t="n"/>
      <c r="H72" s="11" t="n"/>
      <c r="I72" s="13" t="n"/>
      <c r="J72" s="13" t="n"/>
      <c r="K72" s="13" t="n"/>
      <c r="L72" s="13" t="n"/>
      <c r="M72" s="14" t="n"/>
      <c r="N72" s="11" t="n"/>
      <c r="O72" s="11" t="n"/>
      <c r="P72" s="13" t="n"/>
    </row>
    <row r="73">
      <c r="A73" s="11" t="inlineStr">
        <is>
          <t>B071</t>
        </is>
      </c>
      <c r="B73" s="11" t="n"/>
      <c r="C73" s="11" t="n"/>
      <c r="D73" s="11" t="n"/>
      <c r="E73" s="11" t="n"/>
      <c r="F73" s="11" t="n"/>
      <c r="G73" s="11" t="n"/>
      <c r="H73" s="11" t="n"/>
      <c r="I73" s="13" t="n"/>
      <c r="J73" s="13" t="n"/>
      <c r="K73" s="13" t="n"/>
      <c r="L73" s="13" t="n"/>
      <c r="M73" s="14" t="n"/>
      <c r="N73" s="11" t="n"/>
      <c r="O73" s="11" t="n"/>
      <c r="P73" s="13" t="n"/>
    </row>
    <row r="74">
      <c r="A74" s="11" t="inlineStr">
        <is>
          <t>B072</t>
        </is>
      </c>
      <c r="B74" s="11" t="n"/>
      <c r="C74" s="11" t="n"/>
      <c r="D74" s="11" t="n"/>
      <c r="E74" s="11" t="n"/>
      <c r="F74" s="11" t="n"/>
      <c r="G74" s="11" t="n"/>
      <c r="H74" s="11" t="n"/>
      <c r="I74" s="13" t="n"/>
      <c r="J74" s="13" t="n"/>
      <c r="K74" s="13" t="n"/>
      <c r="L74" s="13" t="n"/>
      <c r="M74" s="14" t="n"/>
      <c r="N74" s="11" t="n"/>
      <c r="O74" s="11" t="n"/>
      <c r="P74" s="13" t="n"/>
    </row>
    <row r="75">
      <c r="A75" s="11" t="inlineStr">
        <is>
          <t>B073</t>
        </is>
      </c>
      <c r="B75" s="11" t="n"/>
      <c r="C75" s="11" t="n"/>
      <c r="D75" s="11" t="n"/>
      <c r="E75" s="11" t="n"/>
      <c r="F75" s="11" t="n"/>
      <c r="G75" s="11" t="n"/>
      <c r="H75" s="11" t="n"/>
      <c r="I75" s="13" t="n"/>
      <c r="J75" s="13" t="n"/>
      <c r="K75" s="13" t="n"/>
      <c r="L75" s="13" t="n"/>
      <c r="M75" s="14" t="n"/>
      <c r="N75" s="11" t="n"/>
      <c r="O75" s="11" t="n"/>
      <c r="P75" s="13" t="n"/>
    </row>
    <row r="76">
      <c r="A76" s="11" t="inlineStr">
        <is>
          <t>B074</t>
        </is>
      </c>
      <c r="B76" s="11" t="n"/>
      <c r="C76" s="11" t="n"/>
      <c r="D76" s="11" t="n"/>
      <c r="E76" s="11" t="n"/>
      <c r="F76" s="11" t="n"/>
      <c r="G76" s="11" t="n"/>
      <c r="H76" s="11" t="n"/>
      <c r="I76" s="13" t="n"/>
      <c r="J76" s="13" t="n"/>
      <c r="K76" s="13" t="n"/>
      <c r="L76" s="13" t="n"/>
      <c r="M76" s="14" t="n"/>
      <c r="N76" s="11" t="n"/>
      <c r="O76" s="11" t="n"/>
      <c r="P76" s="13" t="n"/>
    </row>
    <row r="77">
      <c r="A77" s="11" t="inlineStr">
        <is>
          <t>B075</t>
        </is>
      </c>
      <c r="B77" s="11" t="n"/>
      <c r="C77" s="11" t="n"/>
      <c r="D77" s="11" t="n"/>
      <c r="E77" s="11" t="n"/>
      <c r="F77" s="11" t="n"/>
      <c r="G77" s="11" t="n"/>
      <c r="H77" s="11" t="n"/>
      <c r="I77" s="13" t="n"/>
      <c r="J77" s="13" t="n"/>
      <c r="K77" s="13" t="n"/>
      <c r="L77" s="13" t="n"/>
      <c r="M77" s="14" t="n"/>
      <c r="N77" s="11" t="n"/>
      <c r="O77" s="11" t="n"/>
      <c r="P77" s="13" t="n"/>
    </row>
    <row r="78">
      <c r="A78" s="11" t="inlineStr">
        <is>
          <t>B076</t>
        </is>
      </c>
      <c r="B78" s="11" t="n"/>
      <c r="C78" s="11" t="n"/>
      <c r="D78" s="11" t="n"/>
      <c r="E78" s="11" t="n"/>
      <c r="F78" s="11" t="n"/>
      <c r="G78" s="11" t="n"/>
      <c r="H78" s="11" t="n"/>
      <c r="I78" s="13" t="n"/>
      <c r="J78" s="13" t="n"/>
      <c r="K78" s="13" t="n"/>
      <c r="L78" s="13" t="n"/>
      <c r="M78" s="14" t="n"/>
      <c r="N78" s="11" t="n"/>
      <c r="O78" s="11" t="n"/>
      <c r="P78" s="13" t="n"/>
    </row>
    <row r="79">
      <c r="A79" s="11" t="inlineStr">
        <is>
          <t>B077</t>
        </is>
      </c>
      <c r="B79" s="11" t="n"/>
      <c r="C79" s="11" t="n"/>
      <c r="D79" s="11" t="n"/>
      <c r="E79" s="11" t="n"/>
      <c r="F79" s="11" t="n"/>
      <c r="G79" s="11" t="n"/>
      <c r="H79" s="11" t="n"/>
      <c r="I79" s="13" t="n"/>
      <c r="J79" s="13" t="n"/>
      <c r="K79" s="13" t="n"/>
      <c r="L79" s="13" t="n"/>
      <c r="M79" s="14" t="n"/>
      <c r="N79" s="11" t="n"/>
      <c r="O79" s="11" t="n"/>
      <c r="P79" s="13" t="n"/>
    </row>
    <row r="80">
      <c r="A80" s="11" t="inlineStr">
        <is>
          <t>B078</t>
        </is>
      </c>
      <c r="B80" s="11" t="n"/>
      <c r="C80" s="11" t="n"/>
      <c r="D80" s="11" t="n"/>
      <c r="E80" s="11" t="n"/>
      <c r="F80" s="11" t="n"/>
      <c r="G80" s="11" t="n"/>
      <c r="H80" s="11" t="n"/>
      <c r="I80" s="13" t="n"/>
      <c r="J80" s="13" t="n"/>
      <c r="K80" s="13" t="n"/>
      <c r="L80" s="13" t="n"/>
      <c r="M80" s="14" t="n"/>
      <c r="N80" s="11" t="n"/>
      <c r="O80" s="11" t="n"/>
      <c r="P80" s="13" t="n"/>
    </row>
    <row r="81">
      <c r="A81" s="11" t="inlineStr">
        <is>
          <t>B079</t>
        </is>
      </c>
      <c r="B81" s="11" t="n"/>
      <c r="C81" s="11" t="n"/>
      <c r="D81" s="11" t="n"/>
      <c r="E81" s="11" t="n"/>
      <c r="F81" s="11" t="n"/>
      <c r="G81" s="11" t="n"/>
      <c r="H81" s="11" t="n"/>
      <c r="I81" s="13" t="n"/>
      <c r="J81" s="13" t="n"/>
      <c r="K81" s="13" t="n"/>
      <c r="L81" s="13" t="n"/>
      <c r="M81" s="14" t="n"/>
      <c r="N81" s="11" t="n"/>
      <c r="O81" s="11" t="n"/>
      <c r="P81" s="13" t="n"/>
    </row>
    <row r="82">
      <c r="A82" s="11" t="inlineStr">
        <is>
          <t>B080</t>
        </is>
      </c>
      <c r="B82" s="11" t="n"/>
      <c r="C82" s="11" t="n"/>
      <c r="D82" s="11" t="n"/>
      <c r="E82" s="11" t="n"/>
      <c r="F82" s="11" t="n"/>
      <c r="G82" s="11" t="n"/>
      <c r="H82" s="11" t="n"/>
      <c r="I82" s="13" t="n"/>
      <c r="J82" s="13" t="n"/>
      <c r="K82" s="13" t="n"/>
      <c r="L82" s="13" t="n"/>
      <c r="M82" s="14" t="n"/>
      <c r="N82" s="11" t="n"/>
      <c r="O82" s="11" t="n"/>
      <c r="P82" s="13" t="n"/>
    </row>
    <row r="83">
      <c r="A83" s="11" t="inlineStr">
        <is>
          <t>B081</t>
        </is>
      </c>
      <c r="B83" s="11" t="n"/>
      <c r="C83" s="11" t="n"/>
      <c r="D83" s="11" t="n"/>
      <c r="E83" s="11" t="n"/>
      <c r="F83" s="11" t="n"/>
      <c r="G83" s="11" t="n"/>
      <c r="H83" s="11" t="n"/>
      <c r="I83" s="13" t="n"/>
      <c r="J83" s="13" t="n"/>
      <c r="K83" s="13" t="n"/>
      <c r="L83" s="13" t="n"/>
      <c r="M83" s="14" t="n"/>
      <c r="N83" s="11" t="n"/>
      <c r="O83" s="11" t="n"/>
      <c r="P83" s="13" t="n"/>
    </row>
    <row r="84">
      <c r="A84" s="11" t="inlineStr">
        <is>
          <t>B082</t>
        </is>
      </c>
      <c r="B84" s="11" t="n"/>
      <c r="C84" s="11" t="n"/>
      <c r="D84" s="11" t="n"/>
      <c r="E84" s="11" t="n"/>
      <c r="F84" s="11" t="n"/>
      <c r="G84" s="11" t="n"/>
      <c r="H84" s="11" t="n"/>
      <c r="I84" s="13" t="n"/>
      <c r="J84" s="13" t="n"/>
      <c r="K84" s="13" t="n"/>
      <c r="L84" s="13" t="n"/>
      <c r="M84" s="14" t="n"/>
      <c r="N84" s="11" t="n"/>
      <c r="O84" s="11" t="n"/>
      <c r="P84" s="13" t="n"/>
    </row>
    <row r="85">
      <c r="A85" s="11" t="inlineStr">
        <is>
          <t>B083</t>
        </is>
      </c>
      <c r="B85" s="11" t="n"/>
      <c r="C85" s="11" t="n"/>
      <c r="D85" s="11" t="n"/>
      <c r="E85" s="11" t="n"/>
      <c r="F85" s="11" t="n"/>
      <c r="G85" s="11" t="n"/>
      <c r="H85" s="11" t="n"/>
      <c r="I85" s="13" t="n"/>
      <c r="J85" s="13" t="n"/>
      <c r="K85" s="13" t="n"/>
      <c r="L85" s="13" t="n"/>
      <c r="M85" s="14" t="n"/>
      <c r="N85" s="11" t="n"/>
      <c r="O85" s="11" t="n"/>
      <c r="P85" s="13" t="n"/>
    </row>
    <row r="86">
      <c r="A86" s="11" t="inlineStr">
        <is>
          <t>B084</t>
        </is>
      </c>
      <c r="B86" s="11" t="n"/>
      <c r="C86" s="11" t="n"/>
      <c r="D86" s="11" t="n"/>
      <c r="E86" s="11" t="n"/>
      <c r="F86" s="11" t="n"/>
      <c r="G86" s="11" t="n"/>
      <c r="H86" s="11" t="n"/>
      <c r="I86" s="13" t="n"/>
      <c r="J86" s="13" t="n"/>
      <c r="K86" s="13" t="n"/>
      <c r="L86" s="13" t="n"/>
      <c r="M86" s="14" t="n"/>
      <c r="N86" s="11" t="n"/>
      <c r="O86" s="11" t="n"/>
      <c r="P86" s="13" t="n"/>
    </row>
    <row r="87">
      <c r="A87" s="11" t="inlineStr">
        <is>
          <t>B085</t>
        </is>
      </c>
      <c r="B87" s="11" t="n"/>
      <c r="C87" s="11" t="n"/>
      <c r="D87" s="11" t="n"/>
      <c r="E87" s="11" t="n"/>
      <c r="F87" s="11" t="n"/>
      <c r="G87" s="11" t="n"/>
      <c r="H87" s="11" t="n"/>
      <c r="I87" s="13" t="n"/>
      <c r="J87" s="13" t="n"/>
      <c r="K87" s="13" t="n"/>
      <c r="L87" s="13" t="n"/>
      <c r="M87" s="14" t="n"/>
      <c r="N87" s="11" t="n"/>
      <c r="O87" s="11" t="n"/>
      <c r="P87" s="13" t="n"/>
    </row>
    <row r="88">
      <c r="A88" s="11" t="inlineStr">
        <is>
          <t>B086</t>
        </is>
      </c>
      <c r="B88" s="11" t="n"/>
      <c r="C88" s="11" t="n"/>
      <c r="D88" s="11" t="n"/>
      <c r="E88" s="11" t="n"/>
      <c r="F88" s="11" t="n"/>
      <c r="G88" s="11" t="n"/>
      <c r="H88" s="11" t="n"/>
      <c r="I88" s="13" t="n"/>
      <c r="J88" s="13" t="n"/>
      <c r="K88" s="13" t="n"/>
      <c r="L88" s="13" t="n"/>
      <c r="M88" s="14" t="n"/>
      <c r="N88" s="11" t="n"/>
      <c r="O88" s="11" t="n"/>
      <c r="P88" s="13" t="n"/>
    </row>
    <row r="89">
      <c r="A89" s="11" t="inlineStr">
        <is>
          <t>B087</t>
        </is>
      </c>
      <c r="B89" s="11" t="n"/>
      <c r="C89" s="11" t="n"/>
      <c r="D89" s="11" t="n"/>
      <c r="E89" s="11" t="n"/>
      <c r="F89" s="11" t="n"/>
      <c r="G89" s="11" t="n"/>
      <c r="H89" s="11" t="n"/>
      <c r="I89" s="13" t="n"/>
      <c r="J89" s="13" t="n"/>
      <c r="K89" s="13" t="n"/>
      <c r="L89" s="13" t="n"/>
      <c r="M89" s="14" t="n"/>
      <c r="N89" s="11" t="n"/>
      <c r="O89" s="11" t="n"/>
      <c r="P89" s="13" t="n"/>
    </row>
    <row r="90">
      <c r="A90" s="11" t="inlineStr">
        <is>
          <t>B088</t>
        </is>
      </c>
      <c r="B90" s="11" t="n"/>
      <c r="C90" s="11" t="n"/>
      <c r="D90" s="11" t="n"/>
      <c r="E90" s="11" t="n"/>
      <c r="F90" s="11" t="n"/>
      <c r="G90" s="11" t="n"/>
      <c r="H90" s="11" t="n"/>
      <c r="I90" s="13" t="n"/>
      <c r="J90" s="13" t="n"/>
      <c r="K90" s="13" t="n"/>
      <c r="L90" s="13" t="n"/>
      <c r="M90" s="14" t="n"/>
      <c r="N90" s="11" t="n"/>
      <c r="O90" s="11" t="n"/>
      <c r="P90" s="13" t="n"/>
    </row>
    <row r="91">
      <c r="A91" s="11" t="inlineStr">
        <is>
          <t>B089</t>
        </is>
      </c>
      <c r="B91" s="11" t="n"/>
      <c r="C91" s="11" t="n"/>
      <c r="D91" s="11" t="n"/>
      <c r="E91" s="11" t="n"/>
      <c r="F91" s="11" t="n"/>
      <c r="G91" s="11" t="n"/>
      <c r="H91" s="11" t="n"/>
      <c r="I91" s="13" t="n"/>
      <c r="J91" s="13" t="n"/>
      <c r="K91" s="13" t="n"/>
      <c r="L91" s="13" t="n"/>
      <c r="M91" s="14" t="n"/>
      <c r="N91" s="11" t="n"/>
      <c r="O91" s="11" t="n"/>
      <c r="P91" s="13" t="n"/>
    </row>
    <row r="92">
      <c r="A92" s="11" t="inlineStr">
        <is>
          <t>B090</t>
        </is>
      </c>
      <c r="B92" s="11" t="n"/>
      <c r="C92" s="11" t="n"/>
      <c r="D92" s="11" t="n"/>
      <c r="E92" s="11" t="n"/>
      <c r="F92" s="11" t="n"/>
      <c r="G92" s="11" t="n"/>
      <c r="H92" s="11" t="n"/>
      <c r="I92" s="13" t="n"/>
      <c r="J92" s="13" t="n"/>
      <c r="K92" s="13" t="n"/>
      <c r="L92" s="13" t="n"/>
      <c r="M92" s="14" t="n"/>
      <c r="N92" s="11" t="n"/>
      <c r="O92" s="11" t="n"/>
      <c r="P92" s="13" t="n"/>
    </row>
    <row r="93">
      <c r="A93" s="11" t="inlineStr">
        <is>
          <t>B091</t>
        </is>
      </c>
      <c r="B93" s="11" t="n"/>
      <c r="C93" s="11" t="n"/>
      <c r="D93" s="11" t="n"/>
      <c r="E93" s="11" t="n"/>
      <c r="F93" s="11" t="n"/>
      <c r="G93" s="11" t="n"/>
      <c r="H93" s="11" t="n"/>
      <c r="I93" s="13" t="n"/>
      <c r="J93" s="13" t="n"/>
      <c r="K93" s="13" t="n"/>
      <c r="L93" s="13" t="n"/>
      <c r="M93" s="14" t="n"/>
      <c r="N93" s="11" t="n"/>
      <c r="O93" s="11" t="n"/>
      <c r="P93" s="13" t="n"/>
    </row>
    <row r="94">
      <c r="A94" s="11" t="inlineStr">
        <is>
          <t>B092</t>
        </is>
      </c>
      <c r="B94" s="11" t="n"/>
      <c r="C94" s="11" t="n"/>
      <c r="D94" s="11" t="n"/>
      <c r="E94" s="11" t="n"/>
      <c r="F94" s="11" t="n"/>
      <c r="G94" s="11" t="n"/>
      <c r="H94" s="11" t="n"/>
      <c r="I94" s="13" t="n"/>
      <c r="J94" s="13" t="n"/>
      <c r="K94" s="13" t="n"/>
      <c r="L94" s="13" t="n"/>
      <c r="M94" s="14" t="n"/>
      <c r="N94" s="11" t="n"/>
      <c r="O94" s="11" t="n"/>
      <c r="P94" s="13" t="n"/>
    </row>
    <row r="95">
      <c r="A95" s="11" t="inlineStr">
        <is>
          <t>B093</t>
        </is>
      </c>
      <c r="B95" s="11" t="n"/>
      <c r="C95" s="11" t="n"/>
      <c r="D95" s="11" t="n"/>
      <c r="E95" s="11" t="n"/>
      <c r="F95" s="11" t="n"/>
      <c r="G95" s="11" t="n"/>
      <c r="H95" s="11" t="n"/>
      <c r="I95" s="13" t="n"/>
      <c r="J95" s="13" t="n"/>
      <c r="K95" s="13" t="n"/>
      <c r="L95" s="13" t="n"/>
      <c r="M95" s="14" t="n"/>
      <c r="N95" s="11" t="n"/>
      <c r="O95" s="11" t="n"/>
      <c r="P95" s="13" t="n"/>
    </row>
    <row r="96">
      <c r="A96" s="11" t="inlineStr">
        <is>
          <t>B094</t>
        </is>
      </c>
      <c r="B96" s="11" t="n"/>
      <c r="C96" s="11" t="n"/>
      <c r="D96" s="11" t="n"/>
      <c r="E96" s="11" t="n"/>
      <c r="F96" s="11" t="n"/>
      <c r="G96" s="11" t="n"/>
      <c r="H96" s="11" t="n"/>
      <c r="I96" s="13" t="n"/>
      <c r="J96" s="13" t="n"/>
      <c r="K96" s="13" t="n"/>
      <c r="L96" s="13" t="n"/>
      <c r="M96" s="14" t="n"/>
      <c r="N96" s="11" t="n"/>
      <c r="O96" s="11" t="n"/>
      <c r="P96" s="13" t="n"/>
    </row>
    <row r="97">
      <c r="A97" s="11" t="inlineStr">
        <is>
          <t>B095</t>
        </is>
      </c>
      <c r="B97" s="11" t="n"/>
      <c r="C97" s="11" t="n"/>
      <c r="D97" s="11" t="n"/>
      <c r="E97" s="11" t="n"/>
      <c r="F97" s="11" t="n"/>
      <c r="G97" s="11" t="n"/>
      <c r="H97" s="11" t="n"/>
      <c r="I97" s="13" t="n"/>
      <c r="J97" s="13" t="n"/>
      <c r="K97" s="13" t="n"/>
      <c r="L97" s="13" t="n"/>
      <c r="M97" s="14" t="n"/>
      <c r="N97" s="11" t="n"/>
      <c r="O97" s="11" t="n"/>
      <c r="P97" s="13" t="n"/>
    </row>
    <row r="98">
      <c r="A98" s="11" t="inlineStr">
        <is>
          <t>B096</t>
        </is>
      </c>
      <c r="B98" s="11" t="n"/>
      <c r="C98" s="11" t="n"/>
      <c r="D98" s="11" t="n"/>
      <c r="E98" s="11" t="n"/>
      <c r="F98" s="11" t="n"/>
      <c r="G98" s="11" t="n"/>
      <c r="H98" s="11" t="n"/>
      <c r="I98" s="13" t="n"/>
      <c r="J98" s="13" t="n"/>
      <c r="K98" s="13" t="n"/>
      <c r="L98" s="13" t="n"/>
      <c r="M98" s="14" t="n"/>
      <c r="N98" s="11" t="n"/>
      <c r="O98" s="11" t="n"/>
      <c r="P98" s="13" t="n"/>
    </row>
    <row r="99">
      <c r="A99" s="11" t="inlineStr">
        <is>
          <t>B097</t>
        </is>
      </c>
      <c r="B99" s="11" t="n"/>
      <c r="C99" s="11" t="n"/>
      <c r="D99" s="11" t="n"/>
      <c r="E99" s="11" t="n"/>
      <c r="F99" s="11" t="n"/>
      <c r="G99" s="11" t="n"/>
      <c r="H99" s="11" t="n"/>
      <c r="I99" s="13" t="n"/>
      <c r="J99" s="13" t="n"/>
      <c r="K99" s="13" t="n"/>
      <c r="L99" s="13" t="n"/>
      <c r="M99" s="14" t="n"/>
      <c r="N99" s="11" t="n"/>
      <c r="O99" s="11" t="n"/>
      <c r="P99" s="13" t="n"/>
    </row>
    <row r="100">
      <c r="A100" s="11" t="inlineStr">
        <is>
          <t>B098</t>
        </is>
      </c>
      <c r="B100" s="11" t="n"/>
      <c r="C100" s="11" t="n"/>
      <c r="D100" s="11" t="n"/>
      <c r="E100" s="11" t="n"/>
      <c r="F100" s="11" t="n"/>
      <c r="G100" s="11" t="n"/>
      <c r="H100" s="11" t="n"/>
      <c r="I100" s="13" t="n"/>
      <c r="J100" s="13" t="n"/>
      <c r="K100" s="13" t="n"/>
      <c r="L100" s="13" t="n"/>
      <c r="M100" s="14" t="n"/>
      <c r="N100" s="11" t="n"/>
      <c r="O100" s="11" t="n"/>
      <c r="P100" s="13" t="n"/>
    </row>
    <row r="101">
      <c r="A101" s="11" t="inlineStr">
        <is>
          <t>B099</t>
        </is>
      </c>
      <c r="B101" s="11" t="n"/>
      <c r="C101" s="11" t="n"/>
      <c r="D101" s="11" t="n"/>
      <c r="E101" s="11" t="n"/>
      <c r="F101" s="11" t="n"/>
      <c r="G101" s="11" t="n"/>
      <c r="H101" s="11" t="n"/>
      <c r="I101" s="13" t="n"/>
      <c r="J101" s="13" t="n"/>
      <c r="K101" s="13" t="n"/>
      <c r="L101" s="13" t="n"/>
      <c r="M101" s="14" t="n"/>
      <c r="N101" s="11" t="n"/>
      <c r="O101" s="11" t="n"/>
      <c r="P101" s="13" t="n"/>
    </row>
    <row r="102">
      <c r="A102" s="11" t="inlineStr">
        <is>
          <t>B100</t>
        </is>
      </c>
      <c r="B102" s="11" t="n"/>
      <c r="C102" s="11" t="n"/>
      <c r="D102" s="11" t="n"/>
      <c r="E102" s="11" t="n"/>
      <c r="F102" s="11" t="n"/>
      <c r="G102" s="11" t="n"/>
      <c r="H102" s="11" t="n"/>
      <c r="I102" s="13" t="n"/>
      <c r="J102" s="13" t="n"/>
      <c r="K102" s="13" t="n"/>
      <c r="L102" s="13" t="n"/>
      <c r="M102" s="14" t="n"/>
      <c r="N102" s="11" t="n"/>
      <c r="O102" s="11" t="n"/>
      <c r="P102" s="13" t="n"/>
    </row>
    <row r="103">
      <c r="A103" s="11" t="inlineStr">
        <is>
          <t>B101</t>
        </is>
      </c>
      <c r="B103" s="11" t="n"/>
      <c r="C103" s="11" t="n"/>
      <c r="D103" s="11" t="n"/>
      <c r="E103" s="11" t="n"/>
      <c r="F103" s="11" t="n"/>
      <c r="G103" s="11" t="n"/>
      <c r="H103" s="11" t="n"/>
      <c r="I103" s="13" t="n"/>
      <c r="J103" s="13" t="n"/>
      <c r="K103" s="13" t="n"/>
      <c r="L103" s="13" t="n"/>
      <c r="M103" s="14" t="n"/>
      <c r="N103" s="11" t="n"/>
      <c r="O103" s="11" t="n"/>
      <c r="P103" s="13" t="n"/>
    </row>
    <row r="104">
      <c r="A104" s="11" t="inlineStr">
        <is>
          <t>B102</t>
        </is>
      </c>
      <c r="B104" s="11" t="n"/>
      <c r="C104" s="11" t="n"/>
      <c r="D104" s="11" t="n"/>
      <c r="E104" s="11" t="n"/>
      <c r="F104" s="11" t="n"/>
      <c r="G104" s="11" t="n"/>
      <c r="H104" s="11" t="n"/>
      <c r="I104" s="13" t="n"/>
      <c r="J104" s="13" t="n"/>
      <c r="K104" s="13" t="n"/>
      <c r="L104" s="13" t="n"/>
      <c r="M104" s="14" t="n"/>
      <c r="N104" s="11" t="n"/>
      <c r="O104" s="11" t="n"/>
      <c r="P104" s="13" t="n"/>
    </row>
    <row r="105">
      <c r="A105" s="11" t="inlineStr">
        <is>
          <t>B103</t>
        </is>
      </c>
      <c r="B105" s="11" t="n"/>
      <c r="C105" s="11" t="n"/>
      <c r="D105" s="11" t="n"/>
      <c r="E105" s="11" t="n"/>
      <c r="F105" s="11" t="n"/>
      <c r="G105" s="11" t="n"/>
      <c r="H105" s="11" t="n"/>
      <c r="I105" s="13" t="n"/>
      <c r="J105" s="13" t="n"/>
      <c r="K105" s="13" t="n"/>
      <c r="L105" s="13" t="n"/>
      <c r="M105" s="14" t="n"/>
      <c r="N105" s="11" t="n"/>
      <c r="O105" s="11" t="n"/>
      <c r="P105" s="13" t="n"/>
    </row>
    <row r="106">
      <c r="A106" s="11" t="inlineStr">
        <is>
          <t>B104</t>
        </is>
      </c>
      <c r="B106" s="11" t="n"/>
      <c r="C106" s="11" t="n"/>
      <c r="D106" s="11" t="n"/>
      <c r="E106" s="11" t="n"/>
      <c r="F106" s="11" t="n"/>
      <c r="G106" s="11" t="n"/>
      <c r="H106" s="11" t="n"/>
      <c r="I106" s="13" t="n"/>
      <c r="J106" s="13" t="n"/>
      <c r="K106" s="13" t="n"/>
      <c r="L106" s="13" t="n"/>
      <c r="M106" s="14" t="n"/>
      <c r="N106" s="11" t="n"/>
      <c r="O106" s="11" t="n"/>
      <c r="P106" s="13" t="n"/>
    </row>
    <row r="107">
      <c r="A107" s="11" t="inlineStr">
        <is>
          <t>B105</t>
        </is>
      </c>
      <c r="B107" s="11" t="n"/>
      <c r="C107" s="11" t="n"/>
      <c r="D107" s="11" t="n"/>
      <c r="E107" s="11" t="n"/>
      <c r="F107" s="11" t="n"/>
      <c r="G107" s="11" t="n"/>
      <c r="H107" s="11" t="n"/>
      <c r="I107" s="13" t="n"/>
      <c r="J107" s="13" t="n"/>
      <c r="K107" s="13" t="n"/>
      <c r="L107" s="13" t="n"/>
      <c r="M107" s="14" t="n"/>
      <c r="N107" s="11" t="n"/>
      <c r="O107" s="11" t="n"/>
      <c r="P107" s="13" t="n"/>
    </row>
    <row r="108">
      <c r="A108" s="11" t="inlineStr">
        <is>
          <t>B106</t>
        </is>
      </c>
      <c r="B108" s="11" t="n"/>
      <c r="C108" s="11" t="n"/>
      <c r="D108" s="11" t="n"/>
      <c r="E108" s="11" t="n"/>
      <c r="F108" s="11" t="n"/>
      <c r="G108" s="11" t="n"/>
      <c r="H108" s="11" t="n"/>
      <c r="I108" s="13" t="n"/>
      <c r="J108" s="13" t="n"/>
      <c r="K108" s="13" t="n"/>
      <c r="L108" s="13" t="n"/>
      <c r="M108" s="14" t="n"/>
      <c r="N108" s="11" t="n"/>
      <c r="O108" s="11" t="n"/>
      <c r="P108" s="13" t="n"/>
    </row>
    <row r="109">
      <c r="A109" s="11" t="inlineStr">
        <is>
          <t>B107</t>
        </is>
      </c>
      <c r="B109" s="11" t="n"/>
      <c r="C109" s="11" t="n"/>
      <c r="D109" s="11" t="n"/>
      <c r="E109" s="11" t="n"/>
      <c r="F109" s="11" t="n"/>
      <c r="G109" s="11" t="n"/>
      <c r="H109" s="11" t="n"/>
      <c r="I109" s="13" t="n"/>
      <c r="J109" s="13" t="n"/>
      <c r="K109" s="13" t="n"/>
      <c r="L109" s="13" t="n"/>
      <c r="M109" s="14" t="n"/>
      <c r="N109" s="11" t="n"/>
      <c r="O109" s="11" t="n"/>
      <c r="P109" s="13" t="n"/>
    </row>
    <row r="110">
      <c r="A110" s="11" t="inlineStr">
        <is>
          <t>B108</t>
        </is>
      </c>
      <c r="B110" s="11" t="n"/>
      <c r="C110" s="11" t="n"/>
      <c r="D110" s="11" t="n"/>
      <c r="E110" s="11" t="n"/>
      <c r="F110" s="11" t="n"/>
      <c r="G110" s="11" t="n"/>
      <c r="H110" s="11" t="n"/>
      <c r="I110" s="13" t="n"/>
      <c r="J110" s="13" t="n"/>
      <c r="K110" s="13" t="n"/>
      <c r="L110" s="13" t="n"/>
      <c r="M110" s="14" t="n"/>
      <c r="N110" s="11" t="n"/>
      <c r="O110" s="11" t="n"/>
      <c r="P110" s="13" t="n"/>
    </row>
    <row r="111">
      <c r="A111" s="11" t="inlineStr">
        <is>
          <t>B109</t>
        </is>
      </c>
      <c r="B111" s="11" t="n"/>
      <c r="C111" s="11" t="n"/>
      <c r="D111" s="11" t="n"/>
      <c r="E111" s="11" t="n"/>
      <c r="F111" s="11" t="n"/>
      <c r="G111" s="11" t="n"/>
      <c r="H111" s="11" t="n"/>
      <c r="I111" s="13" t="n"/>
      <c r="J111" s="13" t="n"/>
      <c r="K111" s="13" t="n"/>
      <c r="L111" s="13" t="n"/>
      <c r="M111" s="14" t="n"/>
      <c r="N111" s="11" t="n"/>
      <c r="O111" s="11" t="n"/>
      <c r="P111" s="13" t="n"/>
    </row>
    <row r="112">
      <c r="A112" s="11" t="inlineStr">
        <is>
          <t>B110</t>
        </is>
      </c>
      <c r="B112" s="11" t="n"/>
      <c r="C112" s="11" t="n"/>
      <c r="D112" s="11" t="n"/>
      <c r="E112" s="11" t="n"/>
      <c r="F112" s="11" t="n"/>
      <c r="G112" s="11" t="n"/>
      <c r="H112" s="11" t="n"/>
      <c r="I112" s="13" t="n"/>
      <c r="J112" s="13" t="n"/>
      <c r="K112" s="13" t="n"/>
      <c r="L112" s="13" t="n"/>
      <c r="M112" s="14" t="n"/>
      <c r="N112" s="11" t="n"/>
      <c r="O112" s="11" t="n"/>
      <c r="P112" s="13" t="n"/>
    </row>
    <row r="113">
      <c r="A113" s="11" t="inlineStr">
        <is>
          <t>B111</t>
        </is>
      </c>
      <c r="B113" s="11" t="n"/>
      <c r="C113" s="11" t="n"/>
      <c r="D113" s="11" t="n"/>
      <c r="E113" s="11" t="n"/>
      <c r="F113" s="11" t="n"/>
      <c r="G113" s="11" t="n"/>
      <c r="H113" s="11" t="n"/>
      <c r="I113" s="13" t="n"/>
      <c r="J113" s="13" t="n"/>
      <c r="K113" s="13" t="n"/>
      <c r="L113" s="13" t="n"/>
      <c r="M113" s="14" t="n"/>
      <c r="N113" s="11" t="n"/>
      <c r="O113" s="11" t="n"/>
      <c r="P113" s="13" t="n"/>
    </row>
    <row r="114">
      <c r="A114" s="11" t="inlineStr">
        <is>
          <t>B112</t>
        </is>
      </c>
      <c r="B114" s="11" t="n"/>
      <c r="C114" s="11" t="n"/>
      <c r="D114" s="11" t="n"/>
      <c r="E114" s="11" t="n"/>
      <c r="F114" s="11" t="n"/>
      <c r="G114" s="11" t="n"/>
      <c r="H114" s="11" t="n"/>
      <c r="I114" s="13" t="n"/>
      <c r="J114" s="13" t="n"/>
      <c r="K114" s="13" t="n"/>
      <c r="L114" s="13" t="n"/>
      <c r="M114" s="14" t="n"/>
      <c r="N114" s="11" t="n"/>
      <c r="O114" s="11" t="n"/>
      <c r="P114" s="13" t="n"/>
    </row>
    <row r="115">
      <c r="A115" s="11" t="inlineStr">
        <is>
          <t>B113</t>
        </is>
      </c>
      <c r="B115" s="11" t="n"/>
      <c r="C115" s="11" t="n"/>
      <c r="D115" s="11" t="n"/>
      <c r="E115" s="11" t="n"/>
      <c r="F115" s="11" t="n"/>
      <c r="G115" s="11" t="n"/>
      <c r="H115" s="11" t="n"/>
      <c r="I115" s="13" t="n"/>
      <c r="J115" s="13" t="n"/>
      <c r="K115" s="13" t="n"/>
      <c r="L115" s="13" t="n"/>
      <c r="M115" s="14" t="n"/>
      <c r="N115" s="11" t="n"/>
      <c r="O115" s="11" t="n"/>
      <c r="P115" s="13" t="n"/>
    </row>
    <row r="116">
      <c r="A116" s="11" t="inlineStr">
        <is>
          <t>B114</t>
        </is>
      </c>
      <c r="B116" s="11" t="n"/>
      <c r="C116" s="11" t="n"/>
      <c r="D116" s="11" t="n"/>
      <c r="E116" s="11" t="n"/>
      <c r="F116" s="11" t="n"/>
      <c r="G116" s="11" t="n"/>
      <c r="H116" s="11" t="n"/>
      <c r="I116" s="13" t="n"/>
      <c r="J116" s="13" t="n"/>
      <c r="K116" s="13" t="n"/>
      <c r="L116" s="13" t="n"/>
      <c r="M116" s="14" t="n"/>
      <c r="N116" s="11" t="n"/>
      <c r="O116" s="11" t="n"/>
      <c r="P116" s="13" t="n"/>
    </row>
    <row r="117">
      <c r="A117" s="11" t="inlineStr">
        <is>
          <t>B115</t>
        </is>
      </c>
      <c r="B117" s="11" t="n"/>
      <c r="C117" s="11" t="n"/>
      <c r="D117" s="11" t="n"/>
      <c r="E117" s="11" t="n"/>
      <c r="F117" s="11" t="n"/>
      <c r="G117" s="11" t="n"/>
      <c r="H117" s="11" t="n"/>
      <c r="I117" s="13" t="n"/>
      <c r="J117" s="13" t="n"/>
      <c r="K117" s="13" t="n"/>
      <c r="L117" s="13" t="n"/>
      <c r="M117" s="14" t="n"/>
      <c r="N117" s="11" t="n"/>
      <c r="O117" s="11" t="n"/>
      <c r="P117" s="13" t="n"/>
    </row>
    <row r="118">
      <c r="A118" s="11" t="inlineStr">
        <is>
          <t>B116</t>
        </is>
      </c>
      <c r="B118" s="11" t="n"/>
      <c r="C118" s="11" t="n"/>
      <c r="D118" s="11" t="n"/>
      <c r="E118" s="11" t="n"/>
      <c r="F118" s="11" t="n"/>
      <c r="G118" s="11" t="n"/>
      <c r="H118" s="11" t="n"/>
      <c r="I118" s="13" t="n"/>
      <c r="J118" s="13" t="n"/>
      <c r="K118" s="13" t="n"/>
      <c r="L118" s="13" t="n"/>
      <c r="M118" s="14" t="n"/>
      <c r="N118" s="11" t="n"/>
      <c r="O118" s="11" t="n"/>
      <c r="P118" s="13" t="n"/>
    </row>
    <row r="119">
      <c r="A119" s="11" t="inlineStr">
        <is>
          <t>B117</t>
        </is>
      </c>
      <c r="B119" s="11" t="n"/>
      <c r="C119" s="11" t="n"/>
      <c r="D119" s="11" t="n"/>
      <c r="E119" s="11" t="n"/>
      <c r="F119" s="11" t="n"/>
      <c r="G119" s="11" t="n"/>
      <c r="H119" s="11" t="n"/>
      <c r="I119" s="13" t="n"/>
      <c r="J119" s="13" t="n"/>
      <c r="K119" s="13" t="n"/>
      <c r="L119" s="13" t="n"/>
      <c r="M119" s="14" t="n"/>
      <c r="N119" s="11" t="n"/>
      <c r="O119" s="11" t="n"/>
      <c r="P119" s="13" t="n"/>
    </row>
    <row r="120">
      <c r="A120" s="11" t="inlineStr">
        <is>
          <t>B118</t>
        </is>
      </c>
      <c r="B120" s="11" t="n"/>
      <c r="C120" s="11" t="n"/>
      <c r="D120" s="11" t="n"/>
      <c r="E120" s="11" t="n"/>
      <c r="F120" s="11" t="n"/>
      <c r="G120" s="11" t="n"/>
      <c r="H120" s="11" t="n"/>
      <c r="I120" s="13" t="n"/>
      <c r="J120" s="13" t="n"/>
      <c r="K120" s="13" t="n"/>
      <c r="L120" s="13" t="n"/>
      <c r="M120" s="14" t="n"/>
      <c r="N120" s="11" t="n"/>
      <c r="O120" s="11" t="n"/>
      <c r="P120" s="13" t="n"/>
    </row>
    <row r="121">
      <c r="A121" s="11" t="inlineStr">
        <is>
          <t>B119</t>
        </is>
      </c>
      <c r="B121" s="11" t="n"/>
      <c r="C121" s="11" t="n"/>
      <c r="D121" s="11" t="n"/>
      <c r="E121" s="11" t="n"/>
      <c r="F121" s="11" t="n"/>
      <c r="G121" s="11" t="n"/>
      <c r="H121" s="11" t="n"/>
      <c r="I121" s="13" t="n"/>
      <c r="J121" s="13" t="n"/>
      <c r="K121" s="13" t="n"/>
      <c r="L121" s="13" t="n"/>
      <c r="M121" s="14" t="n"/>
      <c r="N121" s="11" t="n"/>
      <c r="O121" s="11" t="n"/>
      <c r="P121" s="13" t="n"/>
    </row>
    <row r="122">
      <c r="A122" s="11" t="inlineStr">
        <is>
          <t>B120</t>
        </is>
      </c>
      <c r="B122" s="11" t="n"/>
      <c r="C122" s="11" t="n"/>
      <c r="D122" s="11" t="n"/>
      <c r="E122" s="11" t="n"/>
      <c r="F122" s="11" t="n"/>
      <c r="G122" s="11" t="n"/>
      <c r="H122" s="11" t="n"/>
      <c r="I122" s="13" t="n"/>
      <c r="J122" s="13" t="n"/>
      <c r="K122" s="13" t="n"/>
      <c r="L122" s="13" t="n"/>
      <c r="M122" s="14" t="n"/>
      <c r="N122" s="11" t="n"/>
      <c r="O122" s="11" t="n"/>
      <c r="P122" s="13" t="n"/>
    </row>
    <row r="123">
      <c r="A123" s="11" t="inlineStr">
        <is>
          <t>B121</t>
        </is>
      </c>
      <c r="B123" s="11" t="n"/>
      <c r="C123" s="11" t="n"/>
      <c r="D123" s="11" t="n"/>
      <c r="E123" s="11" t="n"/>
      <c r="F123" s="11" t="n"/>
      <c r="G123" s="11" t="n"/>
      <c r="H123" s="11" t="n"/>
      <c r="I123" s="13" t="n"/>
      <c r="J123" s="13" t="n"/>
      <c r="K123" s="13" t="n"/>
      <c r="L123" s="13" t="n"/>
      <c r="M123" s="14" t="n"/>
      <c r="N123" s="11" t="n"/>
      <c r="O123" s="11" t="n"/>
      <c r="P123" s="13" t="n"/>
    </row>
    <row r="124">
      <c r="A124" s="11" t="inlineStr">
        <is>
          <t>B122</t>
        </is>
      </c>
      <c r="B124" s="11" t="n"/>
      <c r="C124" s="11" t="n"/>
      <c r="D124" s="11" t="n"/>
      <c r="E124" s="11" t="n"/>
      <c r="F124" s="11" t="n"/>
      <c r="G124" s="11" t="n"/>
      <c r="H124" s="11" t="n"/>
      <c r="I124" s="13" t="n"/>
      <c r="J124" s="13" t="n"/>
      <c r="K124" s="13" t="n"/>
      <c r="L124" s="13" t="n"/>
      <c r="M124" s="14" t="n"/>
      <c r="N124" s="11" t="n"/>
      <c r="O124" s="11" t="n"/>
      <c r="P124" s="13" t="n"/>
    </row>
    <row r="125">
      <c r="A125" s="11" t="inlineStr">
        <is>
          <t>B123</t>
        </is>
      </c>
      <c r="B125" s="11" t="n"/>
      <c r="C125" s="11" t="n"/>
      <c r="D125" s="11" t="n"/>
      <c r="E125" s="11" t="n"/>
      <c r="F125" s="11" t="n"/>
      <c r="G125" s="11" t="n"/>
      <c r="H125" s="11" t="n"/>
      <c r="I125" s="13" t="n"/>
      <c r="J125" s="13" t="n"/>
      <c r="K125" s="13" t="n"/>
      <c r="L125" s="13" t="n"/>
      <c r="M125" s="14" t="n"/>
      <c r="N125" s="11" t="n"/>
      <c r="O125" s="11" t="n"/>
      <c r="P125" s="13" t="n"/>
    </row>
    <row r="126">
      <c r="A126" s="11" t="inlineStr">
        <is>
          <t>B124</t>
        </is>
      </c>
      <c r="B126" s="11" t="n"/>
      <c r="C126" s="11" t="n"/>
      <c r="D126" s="11" t="n"/>
      <c r="E126" s="11" t="n"/>
      <c r="F126" s="11" t="n"/>
      <c r="G126" s="11" t="n"/>
      <c r="H126" s="11" t="n"/>
      <c r="I126" s="13" t="n"/>
      <c r="J126" s="13" t="n"/>
      <c r="K126" s="13" t="n"/>
      <c r="L126" s="13" t="n"/>
      <c r="M126" s="14" t="n"/>
      <c r="N126" s="11" t="n"/>
      <c r="O126" s="11" t="n"/>
      <c r="P126" s="13" t="n"/>
    </row>
    <row r="127">
      <c r="A127" s="11" t="inlineStr">
        <is>
          <t>B125</t>
        </is>
      </c>
      <c r="B127" s="11" t="n"/>
      <c r="C127" s="11" t="n"/>
      <c r="D127" s="11" t="n"/>
      <c r="E127" s="11" t="n"/>
      <c r="F127" s="11" t="n"/>
      <c r="G127" s="11" t="n"/>
      <c r="H127" s="11" t="n"/>
      <c r="I127" s="13" t="n"/>
      <c r="J127" s="13" t="n"/>
      <c r="K127" s="13" t="n"/>
      <c r="L127" s="13" t="n"/>
      <c r="M127" s="14" t="n"/>
      <c r="N127" s="11" t="n"/>
      <c r="O127" s="11" t="n"/>
      <c r="P127" s="13" t="n"/>
    </row>
    <row r="128">
      <c r="A128" s="11" t="inlineStr">
        <is>
          <t>B126</t>
        </is>
      </c>
      <c r="B128" s="11" t="n"/>
      <c r="C128" s="11" t="n"/>
      <c r="D128" s="11" t="n"/>
      <c r="E128" s="11" t="n"/>
      <c r="F128" s="11" t="n"/>
      <c r="G128" s="11" t="n"/>
      <c r="H128" s="11" t="n"/>
      <c r="I128" s="13" t="n"/>
      <c r="J128" s="13" t="n"/>
      <c r="K128" s="13" t="n"/>
      <c r="L128" s="13" t="n"/>
      <c r="M128" s="14" t="n"/>
      <c r="N128" s="11" t="n"/>
      <c r="O128" s="11" t="n"/>
      <c r="P128" s="13" t="n"/>
    </row>
    <row r="129">
      <c r="A129" s="11" t="inlineStr">
        <is>
          <t>B127</t>
        </is>
      </c>
      <c r="B129" s="11" t="n"/>
      <c r="C129" s="11" t="n"/>
      <c r="D129" s="11" t="n"/>
      <c r="E129" s="11" t="n"/>
      <c r="F129" s="11" t="n"/>
      <c r="G129" s="11" t="n"/>
      <c r="H129" s="11" t="n"/>
      <c r="I129" s="13" t="n"/>
      <c r="J129" s="13" t="n"/>
      <c r="K129" s="13" t="n"/>
      <c r="L129" s="13" t="n"/>
      <c r="M129" s="14" t="n"/>
      <c r="N129" s="11" t="n"/>
      <c r="O129" s="11" t="n"/>
      <c r="P129" s="13" t="n"/>
    </row>
    <row r="130">
      <c r="A130" s="11" t="inlineStr">
        <is>
          <t>B128</t>
        </is>
      </c>
      <c r="B130" s="11" t="n"/>
      <c r="C130" s="11" t="n"/>
      <c r="D130" s="11" t="n"/>
      <c r="E130" s="11" t="n"/>
      <c r="F130" s="11" t="n"/>
      <c r="G130" s="11" t="n"/>
      <c r="H130" s="11" t="n"/>
      <c r="I130" s="13" t="n"/>
      <c r="J130" s="13" t="n"/>
      <c r="K130" s="13" t="n"/>
      <c r="L130" s="13" t="n"/>
      <c r="M130" s="14" t="n"/>
      <c r="N130" s="11" t="n"/>
      <c r="O130" s="11" t="n"/>
      <c r="P130" s="13" t="n"/>
    </row>
    <row r="131">
      <c r="A131" s="11" t="inlineStr">
        <is>
          <t>B129</t>
        </is>
      </c>
      <c r="B131" s="11" t="n"/>
      <c r="C131" s="11" t="n"/>
      <c r="D131" s="11" t="n"/>
      <c r="E131" s="11" t="n"/>
      <c r="F131" s="11" t="n"/>
      <c r="G131" s="11" t="n"/>
      <c r="H131" s="11" t="n"/>
      <c r="I131" s="13" t="n"/>
      <c r="J131" s="13" t="n"/>
      <c r="K131" s="13" t="n"/>
      <c r="L131" s="13" t="n"/>
      <c r="M131" s="14" t="n"/>
      <c r="N131" s="11" t="n"/>
      <c r="O131" s="11" t="n"/>
      <c r="P131" s="13" t="n"/>
    </row>
    <row r="132">
      <c r="A132" s="11" t="inlineStr">
        <is>
          <t>B130</t>
        </is>
      </c>
      <c r="B132" s="11" t="n"/>
      <c r="C132" s="11" t="n"/>
      <c r="D132" s="11" t="n"/>
      <c r="E132" s="11" t="n"/>
      <c r="F132" s="11" t="n"/>
      <c r="G132" s="11" t="n"/>
      <c r="H132" s="11" t="n"/>
      <c r="I132" s="13" t="n"/>
      <c r="J132" s="13" t="n"/>
      <c r="K132" s="13" t="n"/>
      <c r="L132" s="13" t="n"/>
      <c r="M132" s="14" t="n"/>
      <c r="N132" s="11" t="n"/>
      <c r="O132" s="11" t="n"/>
      <c r="P132" s="13" t="n"/>
    </row>
    <row r="133">
      <c r="A133" s="11" t="inlineStr">
        <is>
          <t>B131</t>
        </is>
      </c>
      <c r="B133" s="11" t="n"/>
      <c r="C133" s="11" t="n"/>
      <c r="D133" s="11" t="n"/>
      <c r="E133" s="11" t="n"/>
      <c r="F133" s="11" t="n"/>
      <c r="G133" s="11" t="n"/>
      <c r="H133" s="11" t="n"/>
      <c r="I133" s="13" t="n"/>
      <c r="J133" s="13" t="n"/>
      <c r="K133" s="13" t="n"/>
      <c r="L133" s="13" t="n"/>
      <c r="M133" s="14" t="n"/>
      <c r="N133" s="11" t="n"/>
      <c r="O133" s="11" t="n"/>
      <c r="P133" s="13" t="n"/>
    </row>
    <row r="134">
      <c r="A134" s="11" t="inlineStr">
        <is>
          <t>B132</t>
        </is>
      </c>
      <c r="B134" s="11" t="n"/>
      <c r="C134" s="11" t="n"/>
      <c r="D134" s="11" t="n"/>
      <c r="E134" s="11" t="n"/>
      <c r="F134" s="11" t="n"/>
      <c r="G134" s="11" t="n"/>
      <c r="H134" s="11" t="n"/>
      <c r="I134" s="13" t="n"/>
      <c r="J134" s="13" t="n"/>
      <c r="K134" s="13" t="n"/>
      <c r="L134" s="13" t="n"/>
      <c r="M134" s="14" t="n"/>
      <c r="N134" s="11" t="n"/>
      <c r="O134" s="11" t="n"/>
      <c r="P134" s="13" t="n"/>
    </row>
    <row r="135">
      <c r="A135" s="11" t="inlineStr">
        <is>
          <t>B133</t>
        </is>
      </c>
      <c r="B135" s="11" t="n"/>
      <c r="C135" s="11" t="n"/>
      <c r="D135" s="11" t="n"/>
      <c r="E135" s="11" t="n"/>
      <c r="F135" s="11" t="n"/>
      <c r="G135" s="11" t="n"/>
      <c r="H135" s="11" t="n"/>
      <c r="I135" s="13" t="n"/>
      <c r="J135" s="13" t="n"/>
      <c r="K135" s="13" t="n"/>
      <c r="L135" s="13" t="n"/>
      <c r="M135" s="14" t="n"/>
      <c r="N135" s="11" t="n"/>
      <c r="O135" s="11" t="n"/>
      <c r="P135" s="13" t="n"/>
    </row>
    <row r="136">
      <c r="A136" s="11" t="inlineStr">
        <is>
          <t>B134</t>
        </is>
      </c>
      <c r="B136" s="11" t="n"/>
      <c r="C136" s="11" t="n"/>
      <c r="D136" s="11" t="n"/>
      <c r="E136" s="11" t="n"/>
      <c r="F136" s="11" t="n"/>
      <c r="G136" s="11" t="n"/>
      <c r="H136" s="11" t="n"/>
      <c r="I136" s="13" t="n"/>
      <c r="J136" s="13" t="n"/>
      <c r="K136" s="13" t="n"/>
      <c r="L136" s="13" t="n"/>
      <c r="M136" s="14" t="n"/>
      <c r="N136" s="11" t="n"/>
      <c r="O136" s="11" t="n"/>
      <c r="P136" s="13" t="n"/>
    </row>
    <row r="137">
      <c r="A137" s="11" t="inlineStr">
        <is>
          <t>B135</t>
        </is>
      </c>
      <c r="B137" s="11" t="n"/>
      <c r="C137" s="11" t="n"/>
      <c r="D137" s="11" t="n"/>
      <c r="E137" s="11" t="n"/>
      <c r="F137" s="11" t="n"/>
      <c r="G137" s="11" t="n"/>
      <c r="H137" s="11" t="n"/>
      <c r="I137" s="13" t="n"/>
      <c r="J137" s="13" t="n"/>
      <c r="K137" s="13" t="n"/>
      <c r="L137" s="13" t="n"/>
      <c r="M137" s="14" t="n"/>
      <c r="N137" s="11" t="n"/>
      <c r="O137" s="11" t="n"/>
      <c r="P137" s="13" t="n"/>
    </row>
    <row r="138">
      <c r="A138" s="11" t="inlineStr">
        <is>
          <t>B136</t>
        </is>
      </c>
      <c r="B138" s="11" t="n"/>
      <c r="C138" s="11" t="n"/>
      <c r="D138" s="11" t="n"/>
      <c r="E138" s="11" t="n"/>
      <c r="F138" s="11" t="n"/>
      <c r="G138" s="11" t="n"/>
      <c r="H138" s="11" t="n"/>
      <c r="I138" s="13" t="n"/>
      <c r="J138" s="13" t="n"/>
      <c r="K138" s="13" t="n"/>
      <c r="L138" s="13" t="n"/>
      <c r="M138" s="14" t="n"/>
      <c r="N138" s="11" t="n"/>
      <c r="O138" s="11" t="n"/>
      <c r="P138" s="13" t="n"/>
    </row>
    <row r="139">
      <c r="A139" s="11" t="inlineStr">
        <is>
          <t>B137</t>
        </is>
      </c>
      <c r="B139" s="11" t="n"/>
      <c r="C139" s="11" t="n"/>
      <c r="D139" s="11" t="n"/>
      <c r="E139" s="11" t="n"/>
      <c r="F139" s="11" t="n"/>
      <c r="G139" s="11" t="n"/>
      <c r="H139" s="11" t="n"/>
      <c r="I139" s="13" t="n"/>
      <c r="J139" s="13" t="n"/>
      <c r="K139" s="13" t="n"/>
      <c r="L139" s="13" t="n"/>
      <c r="M139" s="14" t="n"/>
      <c r="N139" s="11" t="n"/>
      <c r="O139" s="11" t="n"/>
      <c r="P139" s="13" t="n"/>
    </row>
    <row r="140">
      <c r="A140" s="11" t="inlineStr">
        <is>
          <t>B138</t>
        </is>
      </c>
      <c r="B140" s="11" t="n"/>
      <c r="C140" s="11" t="n"/>
      <c r="D140" s="11" t="n"/>
      <c r="E140" s="11" t="n"/>
      <c r="F140" s="11" t="n"/>
      <c r="G140" s="11" t="n"/>
      <c r="H140" s="11" t="n"/>
      <c r="I140" s="13" t="n"/>
      <c r="J140" s="13" t="n"/>
      <c r="K140" s="13" t="n"/>
      <c r="L140" s="13" t="n"/>
      <c r="M140" s="14" t="n"/>
      <c r="N140" s="11" t="n"/>
      <c r="O140" s="11" t="n"/>
      <c r="P140" s="13" t="n"/>
    </row>
    <row r="141">
      <c r="A141" s="11" t="inlineStr">
        <is>
          <t>B139</t>
        </is>
      </c>
      <c r="B141" s="11" t="n"/>
      <c r="C141" s="11" t="n"/>
      <c r="D141" s="11" t="n"/>
      <c r="E141" s="11" t="n"/>
      <c r="F141" s="11" t="n"/>
      <c r="G141" s="11" t="n"/>
      <c r="H141" s="11" t="n"/>
      <c r="I141" s="13" t="n"/>
      <c r="J141" s="13" t="n"/>
      <c r="K141" s="13" t="n"/>
      <c r="L141" s="13" t="n"/>
      <c r="M141" s="14" t="n"/>
      <c r="N141" s="11" t="n"/>
      <c r="O141" s="11" t="n"/>
      <c r="P141" s="13" t="n"/>
    </row>
    <row r="142">
      <c r="A142" s="11" t="inlineStr">
        <is>
          <t>B140</t>
        </is>
      </c>
      <c r="B142" s="11" t="n"/>
      <c r="C142" s="11" t="n"/>
      <c r="D142" s="11" t="n"/>
      <c r="E142" s="11" t="n"/>
      <c r="F142" s="11" t="n"/>
      <c r="G142" s="11" t="n"/>
      <c r="H142" s="11" t="n"/>
      <c r="I142" s="13" t="n"/>
      <c r="J142" s="13" t="n"/>
      <c r="K142" s="13" t="n"/>
      <c r="L142" s="13" t="n"/>
      <c r="M142" s="14" t="n"/>
      <c r="N142" s="11" t="n"/>
      <c r="O142" s="11" t="n"/>
      <c r="P142" s="13" t="n"/>
    </row>
    <row r="143">
      <c r="A143" s="11" t="inlineStr">
        <is>
          <t>B141</t>
        </is>
      </c>
      <c r="B143" s="11" t="n"/>
      <c r="C143" s="11" t="n"/>
      <c r="D143" s="11" t="n"/>
      <c r="E143" s="11" t="n"/>
      <c r="F143" s="11" t="n"/>
      <c r="G143" s="11" t="n"/>
      <c r="H143" s="11" t="n"/>
      <c r="I143" s="13" t="n"/>
      <c r="J143" s="13" t="n"/>
      <c r="K143" s="13" t="n"/>
      <c r="L143" s="13" t="n"/>
      <c r="M143" s="14" t="n"/>
      <c r="N143" s="11" t="n"/>
      <c r="O143" s="11" t="n"/>
      <c r="P143" s="13" t="n"/>
    </row>
    <row r="144">
      <c r="A144" s="11" t="inlineStr">
        <is>
          <t>B142</t>
        </is>
      </c>
      <c r="B144" s="11" t="n"/>
      <c r="C144" s="11" t="n"/>
      <c r="D144" s="11" t="n"/>
      <c r="E144" s="11" t="n"/>
      <c r="F144" s="11" t="n"/>
      <c r="G144" s="11" t="n"/>
      <c r="H144" s="11" t="n"/>
      <c r="I144" s="13" t="n"/>
      <c r="J144" s="13" t="n"/>
      <c r="K144" s="13" t="n"/>
      <c r="L144" s="13" t="n"/>
      <c r="M144" s="14" t="n"/>
      <c r="N144" s="11" t="n"/>
      <c r="O144" s="11" t="n"/>
      <c r="P144" s="13" t="n"/>
    </row>
    <row r="145">
      <c r="A145" s="11" t="inlineStr">
        <is>
          <t>B143</t>
        </is>
      </c>
      <c r="B145" s="11" t="n"/>
      <c r="C145" s="11" t="n"/>
      <c r="D145" s="11" t="n"/>
      <c r="E145" s="11" t="n"/>
      <c r="F145" s="11" t="n"/>
      <c r="G145" s="11" t="n"/>
      <c r="H145" s="11" t="n"/>
      <c r="I145" s="13" t="n"/>
      <c r="J145" s="13" t="n"/>
      <c r="K145" s="13" t="n"/>
      <c r="L145" s="13" t="n"/>
      <c r="M145" s="14" t="n"/>
      <c r="N145" s="11" t="n"/>
      <c r="O145" s="11" t="n"/>
      <c r="P145" s="13" t="n"/>
    </row>
    <row r="146">
      <c r="A146" s="11" t="inlineStr">
        <is>
          <t>B144</t>
        </is>
      </c>
      <c r="B146" s="11" t="n"/>
      <c r="C146" s="11" t="n"/>
      <c r="D146" s="11" t="n"/>
      <c r="E146" s="11" t="n"/>
      <c r="F146" s="11" t="n"/>
      <c r="G146" s="11" t="n"/>
      <c r="H146" s="11" t="n"/>
      <c r="I146" s="13" t="n"/>
      <c r="J146" s="13" t="n"/>
      <c r="K146" s="13" t="n"/>
      <c r="L146" s="13" t="n"/>
      <c r="M146" s="14" t="n"/>
      <c r="N146" s="11" t="n"/>
      <c r="O146" s="11" t="n"/>
      <c r="P146" s="13" t="n"/>
    </row>
    <row r="147">
      <c r="A147" s="11" t="inlineStr">
        <is>
          <t>B145</t>
        </is>
      </c>
      <c r="B147" s="11" t="n"/>
      <c r="C147" s="11" t="n"/>
      <c r="D147" s="11" t="n"/>
      <c r="E147" s="11" t="n"/>
      <c r="F147" s="11" t="n"/>
      <c r="G147" s="11" t="n"/>
      <c r="H147" s="11" t="n"/>
      <c r="I147" s="13" t="n"/>
      <c r="J147" s="13" t="n"/>
      <c r="K147" s="13" t="n"/>
      <c r="L147" s="13" t="n"/>
      <c r="M147" s="14" t="n"/>
      <c r="N147" s="11" t="n"/>
      <c r="O147" s="11" t="n"/>
      <c r="P147" s="13" t="n"/>
    </row>
    <row r="148">
      <c r="A148" s="11" t="inlineStr">
        <is>
          <t>B146</t>
        </is>
      </c>
      <c r="B148" s="11" t="n"/>
      <c r="C148" s="11" t="n"/>
      <c r="D148" s="11" t="n"/>
      <c r="E148" s="11" t="n"/>
      <c r="F148" s="11" t="n"/>
      <c r="G148" s="11" t="n"/>
      <c r="H148" s="11" t="n"/>
      <c r="I148" s="13" t="n"/>
      <c r="J148" s="13" t="n"/>
      <c r="K148" s="13" t="n"/>
      <c r="L148" s="13" t="n"/>
      <c r="M148" s="14" t="n"/>
      <c r="N148" s="11" t="n"/>
      <c r="O148" s="11" t="n"/>
      <c r="P148" s="13" t="n"/>
    </row>
    <row r="149">
      <c r="A149" s="11" t="inlineStr">
        <is>
          <t>B147</t>
        </is>
      </c>
      <c r="B149" s="11" t="n"/>
      <c r="C149" s="11" t="n"/>
      <c r="D149" s="11" t="n"/>
      <c r="E149" s="11" t="n"/>
      <c r="F149" s="11" t="n"/>
      <c r="G149" s="11" t="n"/>
      <c r="H149" s="11" t="n"/>
      <c r="I149" s="13" t="n"/>
      <c r="J149" s="13" t="n"/>
      <c r="K149" s="13" t="n"/>
      <c r="L149" s="13" t="n"/>
      <c r="M149" s="14" t="n"/>
      <c r="N149" s="11" t="n"/>
      <c r="O149" s="11" t="n"/>
      <c r="P149" s="13" t="n"/>
    </row>
    <row r="150">
      <c r="A150" s="11" t="inlineStr">
        <is>
          <t>B148</t>
        </is>
      </c>
      <c r="B150" s="11" t="n"/>
      <c r="C150" s="11" t="n"/>
      <c r="D150" s="11" t="n"/>
      <c r="E150" s="11" t="n"/>
      <c r="F150" s="11" t="n"/>
      <c r="G150" s="11" t="n"/>
      <c r="H150" s="11" t="n"/>
      <c r="I150" s="13" t="n"/>
      <c r="J150" s="13" t="n"/>
      <c r="K150" s="13" t="n"/>
      <c r="L150" s="13" t="n"/>
      <c r="M150" s="14" t="n"/>
      <c r="N150" s="11" t="n"/>
      <c r="O150" s="11" t="n"/>
      <c r="P150" s="13" t="n"/>
    </row>
    <row r="151">
      <c r="A151" s="11" t="inlineStr">
        <is>
          <t>B149</t>
        </is>
      </c>
      <c r="B151" s="11" t="n"/>
      <c r="C151" s="11" t="n"/>
      <c r="D151" s="11" t="n"/>
      <c r="E151" s="11" t="n"/>
      <c r="F151" s="11" t="n"/>
      <c r="G151" s="11" t="n"/>
      <c r="H151" s="11" t="n"/>
      <c r="I151" s="13" t="n"/>
      <c r="J151" s="13" t="n"/>
      <c r="K151" s="13" t="n"/>
      <c r="L151" s="13" t="n"/>
      <c r="M151" s="14" t="n"/>
      <c r="N151" s="11" t="n"/>
      <c r="O151" s="11" t="n"/>
      <c r="P151" s="13" t="n"/>
    </row>
    <row r="152">
      <c r="A152" s="11" t="inlineStr">
        <is>
          <t>B150</t>
        </is>
      </c>
      <c r="B152" s="11" t="n"/>
      <c r="C152" s="11" t="n"/>
      <c r="D152" s="11" t="n"/>
      <c r="E152" s="11" t="n"/>
      <c r="F152" s="11" t="n"/>
      <c r="G152" s="11" t="n"/>
      <c r="H152" s="11" t="n"/>
      <c r="I152" s="13" t="n"/>
      <c r="J152" s="13" t="n"/>
      <c r="K152" s="13" t="n"/>
      <c r="L152" s="13" t="n"/>
      <c r="M152" s="14" t="n"/>
      <c r="N152" s="11" t="n"/>
      <c r="O152" s="11" t="n"/>
      <c r="P152" s="13" t="n"/>
    </row>
    <row r="153">
      <c r="A153" s="11" t="inlineStr">
        <is>
          <t>B151</t>
        </is>
      </c>
      <c r="B153" s="11" t="n"/>
      <c r="C153" s="11" t="n"/>
      <c r="D153" s="11" t="n"/>
      <c r="E153" s="11" t="n"/>
      <c r="F153" s="11" t="n"/>
      <c r="G153" s="11" t="n"/>
      <c r="H153" s="11" t="n"/>
      <c r="I153" s="13" t="n"/>
      <c r="J153" s="13" t="n"/>
      <c r="K153" s="13" t="n"/>
      <c r="L153" s="13" t="n"/>
      <c r="M153" s="14" t="n"/>
      <c r="N153" s="11" t="n"/>
      <c r="O153" s="11" t="n"/>
      <c r="P153" s="13" t="n"/>
    </row>
    <row r="154">
      <c r="A154" s="11" t="inlineStr">
        <is>
          <t>B152</t>
        </is>
      </c>
      <c r="B154" s="11" t="n"/>
      <c r="C154" s="11" t="n"/>
      <c r="D154" s="11" t="n"/>
      <c r="E154" s="11" t="n"/>
      <c r="F154" s="11" t="n"/>
      <c r="G154" s="11" t="n"/>
      <c r="H154" s="11" t="n"/>
      <c r="I154" s="13" t="n"/>
      <c r="J154" s="13" t="n"/>
      <c r="K154" s="13" t="n"/>
      <c r="L154" s="13" t="n"/>
      <c r="M154" s="14" t="n"/>
      <c r="N154" s="11" t="n"/>
      <c r="O154" s="11" t="n"/>
      <c r="P154" s="13" t="n"/>
    </row>
    <row r="155">
      <c r="A155" s="11" t="inlineStr">
        <is>
          <t>B153</t>
        </is>
      </c>
      <c r="B155" s="11" t="n"/>
      <c r="C155" s="11" t="n"/>
      <c r="D155" s="11" t="n"/>
      <c r="E155" s="11" t="n"/>
      <c r="F155" s="11" t="n"/>
      <c r="G155" s="11" t="n"/>
      <c r="H155" s="11" t="n"/>
      <c r="I155" s="13" t="n"/>
      <c r="J155" s="13" t="n"/>
      <c r="K155" s="13" t="n"/>
      <c r="L155" s="13" t="n"/>
      <c r="M155" s="14" t="n"/>
      <c r="N155" s="11" t="n"/>
      <c r="O155" s="11" t="n"/>
      <c r="P155" s="13" t="n"/>
    </row>
    <row r="156">
      <c r="A156" s="11" t="inlineStr">
        <is>
          <t>B154</t>
        </is>
      </c>
      <c r="B156" s="11" t="n"/>
      <c r="C156" s="11" t="n"/>
      <c r="D156" s="11" t="n"/>
      <c r="E156" s="11" t="n"/>
      <c r="F156" s="11" t="n"/>
      <c r="G156" s="11" t="n"/>
      <c r="H156" s="11" t="n"/>
      <c r="I156" s="13" t="n"/>
      <c r="J156" s="13" t="n"/>
      <c r="K156" s="13" t="n"/>
      <c r="L156" s="13" t="n"/>
      <c r="M156" s="14" t="n"/>
      <c r="N156" s="11" t="n"/>
      <c r="O156" s="11" t="n"/>
      <c r="P156" s="13" t="n"/>
    </row>
    <row r="157">
      <c r="A157" s="11" t="inlineStr">
        <is>
          <t>B155</t>
        </is>
      </c>
      <c r="B157" s="11" t="n"/>
      <c r="C157" s="11" t="n"/>
      <c r="D157" s="11" t="n"/>
      <c r="E157" s="11" t="n"/>
      <c r="F157" s="11" t="n"/>
      <c r="G157" s="11" t="n"/>
      <c r="H157" s="11" t="n"/>
      <c r="I157" s="13" t="n"/>
      <c r="J157" s="13" t="n"/>
      <c r="K157" s="13" t="n"/>
      <c r="L157" s="13" t="n"/>
      <c r="M157" s="14" t="n"/>
      <c r="N157" s="11" t="n"/>
      <c r="O157" s="11" t="n"/>
      <c r="P157" s="13" t="n"/>
    </row>
    <row r="158">
      <c r="A158" s="11" t="inlineStr">
        <is>
          <t>B156</t>
        </is>
      </c>
      <c r="B158" s="11" t="n"/>
      <c r="C158" s="11" t="n"/>
      <c r="D158" s="11" t="n"/>
      <c r="E158" s="11" t="n"/>
      <c r="F158" s="11" t="n"/>
      <c r="G158" s="11" t="n"/>
      <c r="H158" s="11" t="n"/>
      <c r="I158" s="13" t="n"/>
      <c r="J158" s="13" t="n"/>
      <c r="K158" s="13" t="n"/>
      <c r="L158" s="13" t="n"/>
      <c r="M158" s="14" t="n"/>
      <c r="N158" s="11" t="n"/>
      <c r="O158" s="11" t="n"/>
      <c r="P158" s="13" t="n"/>
    </row>
    <row r="159">
      <c r="A159" s="11" t="inlineStr">
        <is>
          <t>B157</t>
        </is>
      </c>
      <c r="B159" s="11" t="n"/>
      <c r="C159" s="11" t="n"/>
      <c r="D159" s="11" t="n"/>
      <c r="E159" s="11" t="n"/>
      <c r="F159" s="11" t="n"/>
      <c r="G159" s="11" t="n"/>
      <c r="H159" s="11" t="n"/>
      <c r="I159" s="13" t="n"/>
      <c r="J159" s="13" t="n"/>
      <c r="K159" s="13" t="n"/>
      <c r="L159" s="13" t="n"/>
      <c r="M159" s="14" t="n"/>
      <c r="N159" s="11" t="n"/>
      <c r="O159" s="11" t="n"/>
      <c r="P159" s="13" t="n"/>
    </row>
    <row r="160">
      <c r="A160" s="11" t="inlineStr">
        <is>
          <t>B158</t>
        </is>
      </c>
      <c r="B160" s="11" t="n"/>
      <c r="C160" s="11" t="n"/>
      <c r="D160" s="11" t="n"/>
      <c r="E160" s="11" t="n"/>
      <c r="F160" s="11" t="n"/>
      <c r="G160" s="11" t="n"/>
      <c r="H160" s="11" t="n"/>
      <c r="I160" s="13" t="n"/>
      <c r="J160" s="13" t="n"/>
      <c r="K160" s="13" t="n"/>
      <c r="L160" s="13" t="n"/>
      <c r="M160" s="14" t="n"/>
      <c r="N160" s="11" t="n"/>
      <c r="O160" s="11" t="n"/>
      <c r="P160" s="13" t="n"/>
    </row>
    <row r="161">
      <c r="A161" s="11" t="inlineStr">
        <is>
          <t>B159</t>
        </is>
      </c>
      <c r="B161" s="11" t="n"/>
      <c r="C161" s="11" t="n"/>
      <c r="D161" s="11" t="n"/>
      <c r="E161" s="11" t="n"/>
      <c r="F161" s="11" t="n"/>
      <c r="G161" s="11" t="n"/>
      <c r="H161" s="11" t="n"/>
      <c r="I161" s="13" t="n"/>
      <c r="J161" s="13" t="n"/>
      <c r="K161" s="13" t="n"/>
      <c r="L161" s="13" t="n"/>
      <c r="M161" s="14" t="n"/>
      <c r="N161" s="11" t="n"/>
      <c r="O161" s="11" t="n"/>
      <c r="P161" s="13" t="n"/>
    </row>
    <row r="162">
      <c r="A162" s="11" t="inlineStr">
        <is>
          <t>B160</t>
        </is>
      </c>
      <c r="B162" s="11" t="n"/>
      <c r="C162" s="11" t="n"/>
      <c r="D162" s="11" t="n"/>
      <c r="E162" s="11" t="n"/>
      <c r="F162" s="11" t="n"/>
      <c r="G162" s="11" t="n"/>
      <c r="H162" s="11" t="n"/>
      <c r="I162" s="13" t="n"/>
      <c r="J162" s="13" t="n"/>
      <c r="K162" s="13" t="n"/>
      <c r="L162" s="13" t="n"/>
      <c r="M162" s="14" t="n"/>
      <c r="N162" s="11" t="n"/>
      <c r="O162" s="11" t="n"/>
      <c r="P162" s="13" t="n"/>
    </row>
    <row r="163">
      <c r="A163" s="11" t="inlineStr">
        <is>
          <t>B161</t>
        </is>
      </c>
      <c r="B163" s="11" t="n"/>
      <c r="C163" s="11" t="n"/>
      <c r="D163" s="11" t="n"/>
      <c r="E163" s="11" t="n"/>
      <c r="F163" s="11" t="n"/>
      <c r="G163" s="11" t="n"/>
      <c r="H163" s="11" t="n"/>
      <c r="I163" s="13" t="n"/>
      <c r="J163" s="13" t="n"/>
      <c r="K163" s="13" t="n"/>
      <c r="L163" s="13" t="n"/>
      <c r="M163" s="14" t="n"/>
      <c r="N163" s="11" t="n"/>
      <c r="O163" s="11" t="n"/>
      <c r="P163" s="13" t="n"/>
    </row>
    <row r="164">
      <c r="A164" s="11" t="inlineStr">
        <is>
          <t>B162</t>
        </is>
      </c>
      <c r="B164" s="11" t="n"/>
      <c r="C164" s="11" t="n"/>
      <c r="D164" s="11" t="n"/>
      <c r="E164" s="11" t="n"/>
      <c r="F164" s="11" t="n"/>
      <c r="G164" s="11" t="n"/>
      <c r="H164" s="11" t="n"/>
      <c r="I164" s="13" t="n"/>
      <c r="J164" s="13" t="n"/>
      <c r="K164" s="13" t="n"/>
      <c r="L164" s="13" t="n"/>
      <c r="M164" s="14" t="n"/>
      <c r="N164" s="11" t="n"/>
      <c r="O164" s="11" t="n"/>
      <c r="P164" s="13" t="n"/>
    </row>
    <row r="165">
      <c r="A165" s="11" t="inlineStr">
        <is>
          <t>B163</t>
        </is>
      </c>
      <c r="B165" s="11" t="n"/>
      <c r="C165" s="11" t="n"/>
      <c r="D165" s="11" t="n"/>
      <c r="E165" s="11" t="n"/>
      <c r="F165" s="11" t="n"/>
      <c r="G165" s="11" t="n"/>
      <c r="H165" s="11" t="n"/>
      <c r="I165" s="13" t="n"/>
      <c r="J165" s="13" t="n"/>
      <c r="K165" s="13" t="n"/>
      <c r="L165" s="13" t="n"/>
      <c r="M165" s="14" t="n"/>
      <c r="N165" s="11" t="n"/>
      <c r="O165" s="11" t="n"/>
      <c r="P165" s="13" t="n"/>
    </row>
    <row r="166">
      <c r="A166" s="11" t="inlineStr">
        <is>
          <t>B164</t>
        </is>
      </c>
      <c r="B166" s="11" t="n"/>
      <c r="C166" s="11" t="n"/>
      <c r="D166" s="11" t="n"/>
      <c r="E166" s="11" t="n"/>
      <c r="F166" s="11" t="n"/>
      <c r="G166" s="11" t="n"/>
      <c r="H166" s="11" t="n"/>
      <c r="I166" s="13" t="n"/>
      <c r="J166" s="13" t="n"/>
      <c r="K166" s="13" t="n"/>
      <c r="L166" s="13" t="n"/>
      <c r="M166" s="14" t="n"/>
      <c r="N166" s="11" t="n"/>
      <c r="O166" s="11" t="n"/>
      <c r="P166" s="13" t="n"/>
    </row>
    <row r="167">
      <c r="A167" s="11" t="inlineStr">
        <is>
          <t>B165</t>
        </is>
      </c>
      <c r="B167" s="11" t="n"/>
      <c r="C167" s="11" t="n"/>
      <c r="D167" s="11" t="n"/>
      <c r="E167" s="11" t="n"/>
      <c r="F167" s="11" t="n"/>
      <c r="G167" s="11" t="n"/>
      <c r="H167" s="11" t="n"/>
      <c r="I167" s="13" t="n"/>
      <c r="J167" s="13" t="n"/>
      <c r="K167" s="13" t="n"/>
      <c r="L167" s="13" t="n"/>
      <c r="M167" s="14" t="n"/>
      <c r="N167" s="11" t="n"/>
      <c r="O167" s="11" t="n"/>
      <c r="P167" s="13" t="n"/>
    </row>
    <row r="168">
      <c r="A168" s="11" t="inlineStr">
        <is>
          <t>B166</t>
        </is>
      </c>
      <c r="B168" s="11" t="n"/>
      <c r="C168" s="11" t="n"/>
      <c r="D168" s="11" t="n"/>
      <c r="E168" s="11" t="n"/>
      <c r="F168" s="11" t="n"/>
      <c r="G168" s="11" t="n"/>
      <c r="H168" s="11" t="n"/>
      <c r="I168" s="13" t="n"/>
      <c r="J168" s="13" t="n"/>
      <c r="K168" s="13" t="n"/>
      <c r="L168" s="13" t="n"/>
      <c r="M168" s="14" t="n"/>
      <c r="N168" s="11" t="n"/>
      <c r="O168" s="11" t="n"/>
      <c r="P168" s="13" t="n"/>
    </row>
    <row r="169">
      <c r="A169" s="11" t="inlineStr">
        <is>
          <t>B167</t>
        </is>
      </c>
      <c r="B169" s="11" t="n"/>
      <c r="C169" s="11" t="n"/>
      <c r="D169" s="11" t="n"/>
      <c r="E169" s="11" t="n"/>
      <c r="F169" s="11" t="n"/>
      <c r="G169" s="11" t="n"/>
      <c r="H169" s="11" t="n"/>
      <c r="I169" s="13" t="n"/>
      <c r="J169" s="13" t="n"/>
      <c r="K169" s="13" t="n"/>
      <c r="L169" s="13" t="n"/>
      <c r="M169" s="14" t="n"/>
      <c r="N169" s="11" t="n"/>
      <c r="O169" s="11" t="n"/>
      <c r="P169" s="13" t="n"/>
    </row>
    <row r="170">
      <c r="A170" s="11" t="inlineStr">
        <is>
          <t>B168</t>
        </is>
      </c>
      <c r="B170" s="11" t="n"/>
      <c r="C170" s="11" t="n"/>
      <c r="D170" s="11" t="n"/>
      <c r="E170" s="11" t="n"/>
      <c r="F170" s="11" t="n"/>
      <c r="G170" s="11" t="n"/>
      <c r="H170" s="11" t="n"/>
      <c r="I170" s="13" t="n"/>
      <c r="J170" s="13" t="n"/>
      <c r="K170" s="13" t="n"/>
      <c r="L170" s="13" t="n"/>
      <c r="M170" s="14" t="n"/>
      <c r="N170" s="11" t="n"/>
      <c r="O170" s="11" t="n"/>
      <c r="P170" s="13" t="n"/>
    </row>
    <row r="171">
      <c r="A171" s="11" t="inlineStr">
        <is>
          <t>B169</t>
        </is>
      </c>
      <c r="B171" s="11" t="n"/>
      <c r="C171" s="11" t="n"/>
      <c r="D171" s="11" t="n"/>
      <c r="E171" s="11" t="n"/>
      <c r="F171" s="11" t="n"/>
      <c r="G171" s="11" t="n"/>
      <c r="H171" s="11" t="n"/>
      <c r="I171" s="13" t="n"/>
      <c r="J171" s="13" t="n"/>
      <c r="K171" s="13" t="n"/>
      <c r="L171" s="13" t="n"/>
      <c r="M171" s="14" t="n"/>
      <c r="N171" s="11" t="n"/>
      <c r="O171" s="11" t="n"/>
      <c r="P171" s="13" t="n"/>
    </row>
    <row r="172">
      <c r="A172" s="11" t="inlineStr">
        <is>
          <t>B170</t>
        </is>
      </c>
      <c r="B172" s="11" t="n"/>
      <c r="C172" s="11" t="n"/>
      <c r="D172" s="11" t="n"/>
      <c r="E172" s="11" t="n"/>
      <c r="F172" s="11" t="n"/>
      <c r="G172" s="11" t="n"/>
      <c r="H172" s="11" t="n"/>
      <c r="I172" s="13" t="n"/>
      <c r="J172" s="13" t="n"/>
      <c r="K172" s="13" t="n"/>
      <c r="L172" s="13" t="n"/>
      <c r="M172" s="14" t="n"/>
      <c r="N172" s="11" t="n"/>
      <c r="O172" s="11" t="n"/>
      <c r="P172" s="13" t="n"/>
    </row>
    <row r="173">
      <c r="A173" s="11" t="inlineStr">
        <is>
          <t>B171</t>
        </is>
      </c>
      <c r="B173" s="11" t="n"/>
      <c r="C173" s="11" t="n"/>
      <c r="D173" s="11" t="n"/>
      <c r="E173" s="11" t="n"/>
      <c r="F173" s="11" t="n"/>
      <c r="G173" s="11" t="n"/>
      <c r="H173" s="11" t="n"/>
      <c r="I173" s="13" t="n"/>
      <c r="J173" s="13" t="n"/>
      <c r="K173" s="13" t="n"/>
      <c r="L173" s="13" t="n"/>
      <c r="M173" s="14" t="n"/>
      <c r="N173" s="11" t="n"/>
      <c r="O173" s="11" t="n"/>
      <c r="P173" s="13" t="n"/>
    </row>
    <row r="174">
      <c r="A174" s="11" t="inlineStr">
        <is>
          <t>B172</t>
        </is>
      </c>
      <c r="B174" s="11" t="n"/>
      <c r="C174" s="11" t="n"/>
      <c r="D174" s="11" t="n"/>
      <c r="E174" s="11" t="n"/>
      <c r="F174" s="11" t="n"/>
      <c r="G174" s="11" t="n"/>
      <c r="H174" s="11" t="n"/>
      <c r="I174" s="13" t="n"/>
      <c r="J174" s="13" t="n"/>
      <c r="K174" s="13" t="n"/>
      <c r="L174" s="13" t="n"/>
      <c r="M174" s="14" t="n"/>
      <c r="N174" s="11" t="n"/>
      <c r="O174" s="11" t="n"/>
      <c r="P174" s="13" t="n"/>
    </row>
    <row r="175">
      <c r="A175" s="11" t="inlineStr">
        <is>
          <t>B173</t>
        </is>
      </c>
      <c r="B175" s="11" t="n"/>
      <c r="C175" s="11" t="n"/>
      <c r="D175" s="11" t="n"/>
      <c r="E175" s="11" t="n"/>
      <c r="F175" s="11" t="n"/>
      <c r="G175" s="11" t="n"/>
      <c r="H175" s="11" t="n"/>
      <c r="I175" s="13" t="n"/>
      <c r="J175" s="13" t="n"/>
      <c r="K175" s="13" t="n"/>
      <c r="L175" s="13" t="n"/>
      <c r="M175" s="14" t="n"/>
      <c r="N175" s="11" t="n"/>
      <c r="O175" s="11" t="n"/>
      <c r="P175" s="13" t="n"/>
    </row>
    <row r="176">
      <c r="A176" s="11" t="inlineStr">
        <is>
          <t>B174</t>
        </is>
      </c>
      <c r="B176" s="11" t="n"/>
      <c r="C176" s="11" t="n"/>
      <c r="D176" s="11" t="n"/>
      <c r="E176" s="11" t="n"/>
      <c r="F176" s="11" t="n"/>
      <c r="G176" s="11" t="n"/>
      <c r="H176" s="11" t="n"/>
      <c r="I176" s="13" t="n"/>
      <c r="J176" s="13" t="n"/>
      <c r="K176" s="13" t="n"/>
      <c r="L176" s="13" t="n"/>
      <c r="M176" s="14" t="n"/>
      <c r="N176" s="11" t="n"/>
      <c r="O176" s="11" t="n"/>
      <c r="P176" s="13" t="n"/>
    </row>
    <row r="177">
      <c r="A177" s="11" t="inlineStr">
        <is>
          <t>B175</t>
        </is>
      </c>
      <c r="B177" s="11" t="n"/>
      <c r="C177" s="11" t="n"/>
      <c r="D177" s="11" t="n"/>
      <c r="E177" s="11" t="n"/>
      <c r="F177" s="11" t="n"/>
      <c r="G177" s="11" t="n"/>
      <c r="H177" s="11" t="n"/>
      <c r="I177" s="13" t="n"/>
      <c r="J177" s="13" t="n"/>
      <c r="K177" s="13" t="n"/>
      <c r="L177" s="13" t="n"/>
      <c r="M177" s="14" t="n"/>
      <c r="N177" s="11" t="n"/>
      <c r="O177" s="11" t="n"/>
      <c r="P177" s="13" t="n"/>
    </row>
    <row r="178">
      <c r="A178" s="11" t="inlineStr">
        <is>
          <t>B176</t>
        </is>
      </c>
      <c r="B178" s="11" t="n"/>
      <c r="C178" s="11" t="n"/>
      <c r="D178" s="11" t="n"/>
      <c r="E178" s="11" t="n"/>
      <c r="F178" s="11" t="n"/>
      <c r="G178" s="11" t="n"/>
      <c r="H178" s="11" t="n"/>
      <c r="I178" s="13" t="n"/>
      <c r="J178" s="13" t="n"/>
      <c r="K178" s="13" t="n"/>
      <c r="L178" s="13" t="n"/>
      <c r="M178" s="14" t="n"/>
      <c r="N178" s="11" t="n"/>
      <c r="O178" s="11" t="n"/>
      <c r="P178" s="13" t="n"/>
    </row>
    <row r="179">
      <c r="A179" s="11" t="inlineStr">
        <is>
          <t>B177</t>
        </is>
      </c>
      <c r="B179" s="11" t="n"/>
      <c r="C179" s="11" t="n"/>
      <c r="D179" s="11" t="n"/>
      <c r="E179" s="11" t="n"/>
      <c r="F179" s="11" t="n"/>
      <c r="G179" s="11" t="n"/>
      <c r="H179" s="11" t="n"/>
      <c r="I179" s="13" t="n"/>
      <c r="J179" s="13" t="n"/>
      <c r="K179" s="13" t="n"/>
      <c r="L179" s="13" t="n"/>
      <c r="M179" s="14" t="n"/>
      <c r="N179" s="11" t="n"/>
      <c r="O179" s="11" t="n"/>
      <c r="P179" s="13" t="n"/>
    </row>
    <row r="180">
      <c r="A180" s="11" t="inlineStr">
        <is>
          <t>B178</t>
        </is>
      </c>
      <c r="B180" s="11" t="n"/>
      <c r="C180" s="11" t="n"/>
      <c r="D180" s="11" t="n"/>
      <c r="E180" s="11" t="n"/>
      <c r="F180" s="11" t="n"/>
      <c r="G180" s="11" t="n"/>
      <c r="H180" s="11" t="n"/>
      <c r="I180" s="13" t="n"/>
      <c r="J180" s="13" t="n"/>
      <c r="K180" s="13" t="n"/>
      <c r="L180" s="13" t="n"/>
      <c r="M180" s="14" t="n"/>
      <c r="N180" s="11" t="n"/>
      <c r="O180" s="11" t="n"/>
      <c r="P180" s="13" t="n"/>
    </row>
    <row r="181">
      <c r="A181" s="11" t="inlineStr">
        <is>
          <t>B179</t>
        </is>
      </c>
      <c r="B181" s="11" t="n"/>
      <c r="C181" s="11" t="n"/>
      <c r="D181" s="11" t="n"/>
      <c r="E181" s="11" t="n"/>
      <c r="F181" s="11" t="n"/>
      <c r="G181" s="11" t="n"/>
      <c r="H181" s="11" t="n"/>
      <c r="I181" s="13" t="n"/>
      <c r="J181" s="13" t="n"/>
      <c r="K181" s="13" t="n"/>
      <c r="L181" s="13" t="n"/>
      <c r="M181" s="14" t="n"/>
      <c r="N181" s="11" t="n"/>
      <c r="O181" s="11" t="n"/>
      <c r="P181" s="13" t="n"/>
    </row>
    <row r="182">
      <c r="A182" s="11" t="inlineStr">
        <is>
          <t>B180</t>
        </is>
      </c>
      <c r="B182" s="11" t="n"/>
      <c r="C182" s="11" t="n"/>
      <c r="D182" s="11" t="n"/>
      <c r="E182" s="11" t="n"/>
      <c r="F182" s="11" t="n"/>
      <c r="G182" s="11" t="n"/>
      <c r="H182" s="11" t="n"/>
      <c r="I182" s="13" t="n"/>
      <c r="J182" s="13" t="n"/>
      <c r="K182" s="13" t="n"/>
      <c r="L182" s="13" t="n"/>
      <c r="M182" s="14" t="n"/>
      <c r="N182" s="11" t="n"/>
      <c r="O182" s="11" t="n"/>
      <c r="P182" s="13" t="n"/>
    </row>
    <row r="183">
      <c r="A183" s="11" t="inlineStr">
        <is>
          <t>B181</t>
        </is>
      </c>
      <c r="B183" s="11" t="n"/>
      <c r="C183" s="11" t="n"/>
      <c r="D183" s="11" t="n"/>
      <c r="E183" s="11" t="n"/>
      <c r="F183" s="11" t="n"/>
      <c r="G183" s="11" t="n"/>
      <c r="H183" s="11" t="n"/>
      <c r="I183" s="13" t="n"/>
      <c r="J183" s="13" t="n"/>
      <c r="K183" s="13" t="n"/>
      <c r="L183" s="13" t="n"/>
      <c r="M183" s="14" t="n"/>
      <c r="N183" s="11" t="n"/>
      <c r="O183" s="11" t="n"/>
      <c r="P183" s="13" t="n"/>
    </row>
    <row r="184">
      <c r="A184" s="11" t="inlineStr">
        <is>
          <t>B182</t>
        </is>
      </c>
      <c r="B184" s="11" t="n"/>
      <c r="C184" s="11" t="n"/>
      <c r="D184" s="11" t="n"/>
      <c r="E184" s="11" t="n"/>
      <c r="F184" s="11" t="n"/>
      <c r="G184" s="11" t="n"/>
      <c r="H184" s="11" t="n"/>
      <c r="I184" s="13" t="n"/>
      <c r="J184" s="13" t="n"/>
      <c r="K184" s="13" t="n"/>
      <c r="L184" s="13" t="n"/>
      <c r="M184" s="14" t="n"/>
      <c r="N184" s="11" t="n"/>
      <c r="O184" s="11" t="n"/>
      <c r="P184" s="13" t="n"/>
    </row>
    <row r="185">
      <c r="A185" s="11" t="inlineStr">
        <is>
          <t>B183</t>
        </is>
      </c>
      <c r="B185" s="11" t="n"/>
      <c r="C185" s="11" t="n"/>
      <c r="D185" s="11" t="n"/>
      <c r="E185" s="11" t="n"/>
      <c r="F185" s="11" t="n"/>
      <c r="G185" s="11" t="n"/>
      <c r="H185" s="11" t="n"/>
      <c r="I185" s="13" t="n"/>
      <c r="J185" s="13" t="n"/>
      <c r="K185" s="13" t="n"/>
      <c r="L185" s="13" t="n"/>
      <c r="M185" s="14" t="n"/>
      <c r="N185" s="11" t="n"/>
      <c r="O185" s="11" t="n"/>
      <c r="P185" s="13" t="n"/>
    </row>
    <row r="186">
      <c r="A186" s="11" t="inlineStr">
        <is>
          <t>B184</t>
        </is>
      </c>
      <c r="B186" s="11" t="n"/>
      <c r="C186" s="11" t="n"/>
      <c r="D186" s="11" t="n"/>
      <c r="E186" s="11" t="n"/>
      <c r="F186" s="11" t="n"/>
      <c r="G186" s="11" t="n"/>
      <c r="H186" s="11" t="n"/>
      <c r="I186" s="13" t="n"/>
      <c r="J186" s="13" t="n"/>
      <c r="K186" s="13" t="n"/>
      <c r="L186" s="13" t="n"/>
      <c r="M186" s="14" t="n"/>
      <c r="N186" s="11" t="n"/>
      <c r="O186" s="11" t="n"/>
      <c r="P186" s="13" t="n"/>
    </row>
    <row r="187">
      <c r="A187" s="11" t="inlineStr">
        <is>
          <t>B185</t>
        </is>
      </c>
      <c r="B187" s="11" t="n"/>
      <c r="C187" s="11" t="n"/>
      <c r="D187" s="11" t="n"/>
      <c r="E187" s="11" t="n"/>
      <c r="F187" s="11" t="n"/>
      <c r="G187" s="11" t="n"/>
      <c r="H187" s="11" t="n"/>
      <c r="I187" s="13" t="n"/>
      <c r="J187" s="13" t="n"/>
      <c r="K187" s="13" t="n"/>
      <c r="L187" s="13" t="n"/>
      <c r="M187" s="14" t="n"/>
      <c r="N187" s="11" t="n"/>
      <c r="O187" s="11" t="n"/>
      <c r="P187" s="13" t="n"/>
    </row>
    <row r="188">
      <c r="A188" s="11" t="inlineStr">
        <is>
          <t>B186</t>
        </is>
      </c>
      <c r="B188" s="11" t="n"/>
      <c r="C188" s="11" t="n"/>
      <c r="D188" s="11" t="n"/>
      <c r="E188" s="11" t="n"/>
      <c r="F188" s="11" t="n"/>
      <c r="G188" s="11" t="n"/>
      <c r="H188" s="11" t="n"/>
      <c r="I188" s="13" t="n"/>
      <c r="J188" s="13" t="n"/>
      <c r="K188" s="13" t="n"/>
      <c r="L188" s="13" t="n"/>
      <c r="M188" s="14" t="n"/>
      <c r="N188" s="11" t="n"/>
      <c r="O188" s="11" t="n"/>
      <c r="P188" s="13" t="n"/>
    </row>
    <row r="189">
      <c r="A189" s="11" t="inlineStr">
        <is>
          <t>B187</t>
        </is>
      </c>
      <c r="B189" s="11" t="n"/>
      <c r="C189" s="11" t="n"/>
      <c r="D189" s="11" t="n"/>
      <c r="E189" s="11" t="n"/>
      <c r="F189" s="11" t="n"/>
      <c r="G189" s="11" t="n"/>
      <c r="H189" s="11" t="n"/>
      <c r="I189" s="13" t="n"/>
      <c r="J189" s="13" t="n"/>
      <c r="K189" s="13" t="n"/>
      <c r="L189" s="13" t="n"/>
      <c r="M189" s="14" t="n"/>
      <c r="N189" s="11" t="n"/>
      <c r="O189" s="11" t="n"/>
      <c r="P189" s="13" t="n"/>
    </row>
    <row r="190">
      <c r="A190" s="11" t="inlineStr">
        <is>
          <t>B188</t>
        </is>
      </c>
      <c r="B190" s="11" t="n"/>
      <c r="C190" s="11" t="n"/>
      <c r="D190" s="11" t="n"/>
      <c r="E190" s="11" t="n"/>
      <c r="F190" s="11" t="n"/>
      <c r="G190" s="11" t="n"/>
      <c r="H190" s="11" t="n"/>
      <c r="I190" s="13" t="n"/>
      <c r="J190" s="13" t="n"/>
      <c r="K190" s="13" t="n"/>
      <c r="L190" s="13" t="n"/>
      <c r="M190" s="14" t="n"/>
      <c r="N190" s="11" t="n"/>
      <c r="O190" s="11" t="n"/>
      <c r="P190" s="13" t="n"/>
    </row>
    <row r="191">
      <c r="A191" s="11" t="inlineStr">
        <is>
          <t>B189</t>
        </is>
      </c>
      <c r="B191" s="11" t="n"/>
      <c r="C191" s="11" t="n"/>
      <c r="D191" s="11" t="n"/>
      <c r="E191" s="11" t="n"/>
      <c r="F191" s="11" t="n"/>
      <c r="G191" s="11" t="n"/>
      <c r="H191" s="11" t="n"/>
      <c r="I191" s="13" t="n"/>
      <c r="J191" s="13" t="n"/>
      <c r="K191" s="13" t="n"/>
      <c r="L191" s="13" t="n"/>
      <c r="M191" s="14" t="n"/>
      <c r="N191" s="11" t="n"/>
      <c r="O191" s="11" t="n"/>
      <c r="P191" s="13" t="n"/>
    </row>
    <row r="192">
      <c r="A192" s="11" t="inlineStr">
        <is>
          <t>B190</t>
        </is>
      </c>
      <c r="B192" s="11" t="n"/>
      <c r="C192" s="11" t="n"/>
      <c r="D192" s="11" t="n"/>
      <c r="E192" s="11" t="n"/>
      <c r="F192" s="11" t="n"/>
      <c r="G192" s="11" t="n"/>
      <c r="H192" s="11" t="n"/>
      <c r="I192" s="13" t="n"/>
      <c r="J192" s="13" t="n"/>
      <c r="K192" s="13" t="n"/>
      <c r="L192" s="13" t="n"/>
      <c r="M192" s="14" t="n"/>
      <c r="N192" s="11" t="n"/>
      <c r="O192" s="11" t="n"/>
      <c r="P192" s="13" t="n"/>
    </row>
    <row r="193">
      <c r="A193" s="11" t="inlineStr">
        <is>
          <t>B191</t>
        </is>
      </c>
      <c r="B193" s="11" t="n"/>
      <c r="C193" s="11" t="n"/>
      <c r="D193" s="11" t="n"/>
      <c r="E193" s="11" t="n"/>
      <c r="F193" s="11" t="n"/>
      <c r="G193" s="11" t="n"/>
      <c r="H193" s="11" t="n"/>
      <c r="I193" s="13" t="n"/>
      <c r="J193" s="13" t="n"/>
      <c r="K193" s="13" t="n"/>
      <c r="L193" s="13" t="n"/>
      <c r="M193" s="14" t="n"/>
      <c r="N193" s="11" t="n"/>
      <c r="O193" s="11" t="n"/>
      <c r="P193" s="13" t="n"/>
    </row>
    <row r="194">
      <c r="A194" s="11" t="inlineStr">
        <is>
          <t>B192</t>
        </is>
      </c>
      <c r="B194" s="11" t="n"/>
      <c r="C194" s="11" t="n"/>
      <c r="D194" s="11" t="n"/>
      <c r="E194" s="11" t="n"/>
      <c r="F194" s="11" t="n"/>
      <c r="G194" s="11" t="n"/>
      <c r="H194" s="11" t="n"/>
      <c r="I194" s="13" t="n"/>
      <c r="J194" s="13" t="n"/>
      <c r="K194" s="13" t="n"/>
      <c r="L194" s="13" t="n"/>
      <c r="M194" s="14" t="n"/>
      <c r="N194" s="11" t="n"/>
      <c r="O194" s="11" t="n"/>
      <c r="P194" s="13" t="n"/>
    </row>
    <row r="195">
      <c r="A195" s="11" t="inlineStr">
        <is>
          <t>B193</t>
        </is>
      </c>
      <c r="B195" s="11" t="n"/>
      <c r="C195" s="11" t="n"/>
      <c r="D195" s="11" t="n"/>
      <c r="E195" s="11" t="n"/>
      <c r="F195" s="11" t="n"/>
      <c r="G195" s="11" t="n"/>
      <c r="H195" s="11" t="n"/>
      <c r="I195" s="13" t="n"/>
      <c r="J195" s="13" t="n"/>
      <c r="K195" s="13" t="n"/>
      <c r="L195" s="13" t="n"/>
      <c r="M195" s="14" t="n"/>
      <c r="N195" s="11" t="n"/>
      <c r="O195" s="11" t="n"/>
      <c r="P195" s="13" t="n"/>
    </row>
    <row r="196">
      <c r="A196" s="11" t="inlineStr">
        <is>
          <t>B194</t>
        </is>
      </c>
      <c r="B196" s="11" t="n"/>
      <c r="C196" s="11" t="n"/>
      <c r="D196" s="11" t="n"/>
      <c r="E196" s="11" t="n"/>
      <c r="F196" s="11" t="n"/>
      <c r="G196" s="11" t="n"/>
      <c r="H196" s="11" t="n"/>
      <c r="I196" s="13" t="n"/>
      <c r="J196" s="13" t="n"/>
      <c r="K196" s="13" t="n"/>
      <c r="L196" s="13" t="n"/>
      <c r="M196" s="14" t="n"/>
      <c r="N196" s="11" t="n"/>
      <c r="O196" s="11" t="n"/>
      <c r="P196" s="13" t="n"/>
    </row>
    <row r="197">
      <c r="A197" s="11" t="inlineStr">
        <is>
          <t>B195</t>
        </is>
      </c>
      <c r="B197" s="11" t="n"/>
      <c r="C197" s="11" t="n"/>
      <c r="D197" s="11" t="n"/>
      <c r="E197" s="11" t="n"/>
      <c r="F197" s="11" t="n"/>
      <c r="G197" s="11" t="n"/>
      <c r="H197" s="11" t="n"/>
      <c r="I197" s="13" t="n"/>
      <c r="J197" s="13" t="n"/>
      <c r="K197" s="13" t="n"/>
      <c r="L197" s="13" t="n"/>
      <c r="M197" s="14" t="n"/>
      <c r="N197" s="11" t="n"/>
      <c r="O197" s="11" t="n"/>
      <c r="P197" s="13" t="n"/>
    </row>
    <row r="198">
      <c r="A198" s="11" t="inlineStr">
        <is>
          <t>B196</t>
        </is>
      </c>
      <c r="B198" s="11" t="n"/>
      <c r="C198" s="11" t="n"/>
      <c r="D198" s="11" t="n"/>
      <c r="E198" s="11" t="n"/>
      <c r="F198" s="11" t="n"/>
      <c r="G198" s="11" t="n"/>
      <c r="H198" s="11" t="n"/>
      <c r="I198" s="13" t="n"/>
      <c r="J198" s="13" t="n"/>
      <c r="K198" s="13" t="n"/>
      <c r="L198" s="13" t="n"/>
      <c r="M198" s="14" t="n"/>
      <c r="N198" s="11" t="n"/>
      <c r="O198" s="11" t="n"/>
      <c r="P198" s="13" t="n"/>
    </row>
    <row r="199">
      <c r="A199" s="11" t="inlineStr">
        <is>
          <t>B197</t>
        </is>
      </c>
      <c r="B199" s="11" t="n"/>
      <c r="C199" s="11" t="n"/>
      <c r="D199" s="11" t="n"/>
      <c r="E199" s="11" t="n"/>
      <c r="F199" s="11" t="n"/>
      <c r="G199" s="11" t="n"/>
      <c r="H199" s="11" t="n"/>
      <c r="I199" s="13" t="n"/>
      <c r="J199" s="13" t="n"/>
      <c r="K199" s="13" t="n"/>
      <c r="L199" s="13" t="n"/>
      <c r="M199" s="14" t="n"/>
      <c r="N199" s="11" t="n"/>
      <c r="O199" s="11" t="n"/>
      <c r="P199" s="13" t="n"/>
    </row>
    <row r="200">
      <c r="A200" s="11" t="inlineStr">
        <is>
          <t>B198</t>
        </is>
      </c>
      <c r="B200" s="11" t="n"/>
      <c r="C200" s="11" t="n"/>
      <c r="D200" s="11" t="n"/>
      <c r="E200" s="11" t="n"/>
      <c r="F200" s="11" t="n"/>
      <c r="G200" s="11" t="n"/>
      <c r="H200" s="11" t="n"/>
      <c r="I200" s="13" t="n"/>
      <c r="J200" s="13" t="n"/>
      <c r="K200" s="13" t="n"/>
      <c r="L200" s="13" t="n"/>
      <c r="M200" s="14" t="n"/>
      <c r="N200" s="11" t="n"/>
      <c r="O200" s="11" t="n"/>
      <c r="P200" s="13" t="n"/>
    </row>
    <row r="201">
      <c r="A201" s="11" t="inlineStr">
        <is>
          <t>B199</t>
        </is>
      </c>
      <c r="B201" s="11" t="n"/>
      <c r="C201" s="11" t="n"/>
      <c r="D201" s="11" t="n"/>
      <c r="E201" s="11" t="n"/>
      <c r="F201" s="11" t="n"/>
      <c r="G201" s="11" t="n"/>
      <c r="H201" s="11" t="n"/>
      <c r="I201" s="13" t="n"/>
      <c r="J201" s="13" t="n"/>
      <c r="K201" s="13" t="n"/>
      <c r="L201" s="13" t="n"/>
      <c r="M201" s="14" t="n"/>
      <c r="N201" s="11" t="n"/>
      <c r="O201" s="11" t="n"/>
      <c r="P201" s="13" t="n"/>
    </row>
    <row r="202">
      <c r="A202" s="11" t="inlineStr">
        <is>
          <t>B200</t>
        </is>
      </c>
      <c r="B202" s="11" t="n"/>
      <c r="C202" s="11" t="n"/>
      <c r="D202" s="11" t="n"/>
      <c r="E202" s="11" t="n"/>
      <c r="F202" s="11" t="n"/>
      <c r="G202" s="11" t="n"/>
      <c r="H202" s="11" t="n"/>
      <c r="I202" s="13" t="n"/>
      <c r="J202" s="13" t="n"/>
      <c r="K202" s="13" t="n"/>
      <c r="L202" s="13" t="n"/>
      <c r="M202" s="14" t="n"/>
      <c r="N202" s="11" t="n"/>
      <c r="O202" s="11" t="n"/>
      <c r="P202" s="13" t="n"/>
    </row>
  </sheetData>
  <conditionalFormatting sqref="M3:M202">
    <cfRule type="expression" priority="1" dxfId="0">
      <formula>AND($M3&lt;&gt;"",$M3&lt;=TODAY(),$L3&lt;&gt;"Deal",$L3&lt;&gt;"Tidak Tertarik")</formula>
    </cfRule>
  </conditionalFormatting>
  <conditionalFormatting sqref="L3:L202">
    <cfRule type="expression" priority="2" dxfId="1">
      <formula>$L3="Deal"</formula>
    </cfRule>
    <cfRule type="expression" priority="3" dxfId="2">
      <formula>$L3="Tidak Tertarik"</formula>
    </cfRule>
  </conditionalFormatting>
  <dataValidations count="4">
    <dataValidation sqref="L3:L202" showDropDown="0" showInputMessage="0" showErrorMessage="0" allowBlank="1" type="list">
      <formula1>"Baru,Dihubungi,Kirim Sampel,Negosiasi,Deal,Tidak Tertarik"</formula1>
    </dataValidation>
    <dataValidation sqref="F3:F202" showDropDown="0" showInputMessage="0" showErrorMessage="0" allowBlank="1" type="list">
      <formula1>"A,B,C"</formula1>
    </dataValidation>
    <dataValidation sqref="E3:E202" showDropDown="0" showInputMessage="0" showErrorMessage="0" allowBlank="1" type="list">
      <formula1>"Importir,Distributor,Wholesaler,Trader,Brand,Lounge/Kafe"</formula1>
    </dataValidation>
    <dataValidation sqref="M3:M202" showDropDown="0" showInputMessage="0" showErrorMessage="0" allowBlank="1" error="Isi tanggal, mis. 20/10/2026" type="date" operator="greaterThan">
      <formula1>DATE(2026,1,1)</formula1>
    </dataValidation>
  </dataValidations>
  <hyperlinks>
    <hyperlink xmlns:r="http://schemas.openxmlformats.org/officeDocument/2006/relationships" ref="H3" r:id="rId1"/>
    <hyperlink xmlns:r="http://schemas.openxmlformats.org/officeDocument/2006/relationships" ref="O3" r:id="rId2"/>
    <hyperlink xmlns:r="http://schemas.openxmlformats.org/officeDocument/2006/relationships" ref="H4" r:id="rId3"/>
    <hyperlink xmlns:r="http://schemas.openxmlformats.org/officeDocument/2006/relationships" ref="O4" r:id="rId4"/>
    <hyperlink xmlns:r="http://schemas.openxmlformats.org/officeDocument/2006/relationships" ref="H5" r:id="rId5"/>
    <hyperlink xmlns:r="http://schemas.openxmlformats.org/officeDocument/2006/relationships" ref="O5" r:id="rId6"/>
    <hyperlink xmlns:r="http://schemas.openxmlformats.org/officeDocument/2006/relationships" ref="H6" r:id="rId7"/>
    <hyperlink xmlns:r="http://schemas.openxmlformats.org/officeDocument/2006/relationships" ref="O6" r:id="rId8"/>
    <hyperlink xmlns:r="http://schemas.openxmlformats.org/officeDocument/2006/relationships" ref="H7" r:id="rId9"/>
    <hyperlink xmlns:r="http://schemas.openxmlformats.org/officeDocument/2006/relationships" ref="O7" r:id="rId10"/>
    <hyperlink xmlns:r="http://schemas.openxmlformats.org/officeDocument/2006/relationships" ref="H8" r:id="rId11"/>
    <hyperlink xmlns:r="http://schemas.openxmlformats.org/officeDocument/2006/relationships" ref="O8" r:id="rId12"/>
    <hyperlink xmlns:r="http://schemas.openxmlformats.org/officeDocument/2006/relationships" ref="H9" r:id="rId13"/>
    <hyperlink xmlns:r="http://schemas.openxmlformats.org/officeDocument/2006/relationships" ref="O9" r:id="rId14"/>
    <hyperlink xmlns:r="http://schemas.openxmlformats.org/officeDocument/2006/relationships" ref="H10" r:id="rId15"/>
    <hyperlink xmlns:r="http://schemas.openxmlformats.org/officeDocument/2006/relationships" ref="O10" r:id="rId16"/>
    <hyperlink xmlns:r="http://schemas.openxmlformats.org/officeDocument/2006/relationships" ref="H11" r:id="rId17"/>
    <hyperlink xmlns:r="http://schemas.openxmlformats.org/officeDocument/2006/relationships" ref="O11" r:id="rId18"/>
    <hyperlink xmlns:r="http://schemas.openxmlformats.org/officeDocument/2006/relationships" ref="H12" r:id="rId19"/>
    <hyperlink xmlns:r="http://schemas.openxmlformats.org/officeDocument/2006/relationships" ref="O12" r:id="rId20"/>
    <hyperlink xmlns:r="http://schemas.openxmlformats.org/officeDocument/2006/relationships" ref="H13" r:id="rId21"/>
    <hyperlink xmlns:r="http://schemas.openxmlformats.org/officeDocument/2006/relationships" ref="O13" r:id="rId22"/>
    <hyperlink xmlns:r="http://schemas.openxmlformats.org/officeDocument/2006/relationships" ref="H14" r:id="rId23"/>
    <hyperlink xmlns:r="http://schemas.openxmlformats.org/officeDocument/2006/relationships" ref="O14" r:id="rId24"/>
    <hyperlink xmlns:r="http://schemas.openxmlformats.org/officeDocument/2006/relationships" ref="H15" r:id="rId25"/>
    <hyperlink xmlns:r="http://schemas.openxmlformats.org/officeDocument/2006/relationships" ref="O15" r:id="rId26"/>
    <hyperlink xmlns:r="http://schemas.openxmlformats.org/officeDocument/2006/relationships" ref="H16" r:id="rId27"/>
    <hyperlink xmlns:r="http://schemas.openxmlformats.org/officeDocument/2006/relationships" ref="O16" r:id="rId28"/>
    <hyperlink xmlns:r="http://schemas.openxmlformats.org/officeDocument/2006/relationships" ref="H17" r:id="rId29"/>
    <hyperlink xmlns:r="http://schemas.openxmlformats.org/officeDocument/2006/relationships" ref="O17" r:id="rId30"/>
    <hyperlink xmlns:r="http://schemas.openxmlformats.org/officeDocument/2006/relationships" ref="H18" r:id="rId31"/>
    <hyperlink xmlns:r="http://schemas.openxmlformats.org/officeDocument/2006/relationships" ref="O18" r:id="rId32"/>
    <hyperlink xmlns:r="http://schemas.openxmlformats.org/officeDocument/2006/relationships" ref="H19" r:id="rId33"/>
    <hyperlink xmlns:r="http://schemas.openxmlformats.org/officeDocument/2006/relationships" ref="O19" r:id="rId34"/>
  </hyperlinks>
  <pageMargins left="0.75" right="0.75" top="1" bottom="1" header="0.5" footer="0.5"/>
  <tableParts count="1">
    <tablePart xmlns:r="http://schemas.openxmlformats.org/officeDocument/2006/relationships" r:id="rId35"/>
  </tableParts>
</worksheet>
</file>

<file path=xl/worksheets/sheet3.xml><?xml version="1.0" encoding="utf-8"?>
<worksheet xmlns="http://schemas.openxmlformats.org/spreadsheetml/2006/main">
  <sheetPr>
    <tabColor rgb="008EA9DB"/>
    <outlinePr summaryBelow="1" summaryRight="1"/>
    <pageSetUpPr/>
  </sheetPr>
  <dimension ref="A1:F14"/>
  <sheetViews>
    <sheetView showGridLines="0" workbookViewId="0">
      <pane xSplit="1" ySplit="2" topLeftCell="B3" activePane="bottomRight" state="frozen"/>
      <selection pane="topRight"/>
      <selection pane="bottomLeft"/>
      <selection pane="bottomRight" activeCell="A1" sqref="A1"/>
    </sheetView>
  </sheetViews>
  <sheetFormatPr baseColWidth="8" defaultRowHeight="15"/>
  <cols>
    <col width="26" customWidth="1" min="1" max="1"/>
    <col width="18" customWidth="1" min="2" max="2"/>
    <col width="20" customWidth="1" min="3" max="3"/>
    <col width="70" customWidth="1" min="4" max="4"/>
    <col width="50" customWidth="1" min="5" max="5"/>
    <col width="13" customWidth="1" min="6" max="6"/>
  </cols>
  <sheetData>
    <row r="1">
      <c r="A1" s="9" t="inlineStr">
        <is>
          <t>SUMBER LEAD: CARA MENAMBAH BUYER BARU</t>
        </is>
      </c>
    </row>
    <row r="2">
      <c r="A2" s="15" t="inlineStr">
        <is>
          <t>Sumber</t>
        </is>
      </c>
      <c r="B2" s="15" t="inlineStr">
        <is>
          <t>Jenis</t>
        </is>
      </c>
      <c r="C2" s="15" t="inlineStr">
        <is>
          <t>Pasar</t>
        </is>
      </c>
      <c r="D2" s="15" t="inlineStr">
        <is>
          <t>Temuan / Cara pakai</t>
        </is>
      </c>
      <c r="E2" s="15" t="inlineStr">
        <is>
          <t>Link</t>
        </is>
      </c>
      <c r="F2" s="15" t="inlineStr">
        <is>
          <t>Sudah Dicek?</t>
        </is>
      </c>
    </row>
    <row r="3">
      <c r="A3" s="11" t="inlineStr">
        <is>
          <t>Tradewheel</t>
        </is>
      </c>
      <c r="B3" s="11" t="inlineStr">
        <is>
          <t>Papan permintaan beli</t>
        </is>
      </c>
      <c r="C3" s="11" t="inlineStr">
        <is>
          <t>Saudi Arabia</t>
        </is>
      </c>
      <c r="D3" s="11" t="inlineStr">
        <is>
          <t>Ada permintaan importir Riyadh untuk arang shisha grade 1 dan pedagang grosir yang cari pasokan. Cek tanggal posting.</t>
        </is>
      </c>
      <c r="E3" s="12" t="inlineStr">
        <is>
          <t>https://www.tradewheel.com/buyers/shisha-charcoal/saudi-arabia/</t>
        </is>
      </c>
      <c r="F3" s="16" t="inlineStr">
        <is>
          <t>Belum</t>
        </is>
      </c>
    </row>
    <row r="4">
      <c r="A4" s="11" t="inlineStr">
        <is>
          <t>ExportHub: Iraq</t>
        </is>
      </c>
      <c r="B4" s="11" t="inlineStr">
        <is>
          <t>Papan permintaan beli</t>
        </is>
      </c>
      <c r="C4" s="11" t="inlineStr">
        <is>
          <t>Iraq</t>
        </is>
      </c>
      <c r="D4" s="11" t="inlineStr">
        <is>
          <t>Buyer Iraq cari pabrik briket kelapa untuk lini hookah; salah satunya minta 28 ton per 2 minggu.</t>
        </is>
      </c>
      <c r="E4" s="12" t="inlineStr">
        <is>
          <t>https://www.exporthub.com/iraq/charcoal-importers/</t>
        </is>
      </c>
      <c r="F4" s="16" t="inlineStr">
        <is>
          <t>Belum</t>
        </is>
      </c>
    </row>
    <row r="5">
      <c r="A5" s="11" t="inlineStr">
        <is>
          <t>ExportHub: Hookah Coconut</t>
        </is>
      </c>
      <c r="B5" s="11" t="inlineStr">
        <is>
          <t>Papan permintaan beli</t>
        </is>
      </c>
      <c r="C5" s="11" t="inlineStr">
        <is>
          <t>Global</t>
        </is>
      </c>
      <c r="D5" s="11" t="inlineStr">
        <is>
          <t>Daftar importir hookah coconut shell charcoal lintas negara.</t>
        </is>
      </c>
      <c r="E5" s="12" t="inlineStr">
        <is>
          <t>https://www.exporthub.com/importers/hookah-coconut-shell-charcoal/</t>
        </is>
      </c>
      <c r="F5" s="16" t="inlineStr">
        <is>
          <t>Belum</t>
        </is>
      </c>
    </row>
    <row r="6">
      <c r="A6" s="11" t="inlineStr">
        <is>
          <t>Go4WorldBusiness: Iraq</t>
        </is>
      </c>
      <c r="B6" s="11" t="inlineStr">
        <is>
          <t>Papan permintaan beli</t>
        </is>
      </c>
      <c r="C6" s="11" t="inlineStr">
        <is>
          <t>Iraq</t>
        </is>
      </c>
      <c r="D6" s="11" t="inlineStr">
        <is>
          <t>Permintaan kontainer penuh CIF Umm Qasr dengan pembayaran LC.</t>
        </is>
      </c>
      <c r="E6" s="12" t="inlineStr">
        <is>
          <t>https://www.go4worldbusiness.com/buyers/iraq/charcoal.html</t>
        </is>
      </c>
      <c r="F6" s="16" t="inlineStr">
        <is>
          <t>Belum</t>
        </is>
      </c>
    </row>
    <row r="7">
      <c r="A7" s="11" t="inlineStr">
        <is>
          <t>Go4WorldBusiness: Jordan</t>
        </is>
      </c>
      <c r="B7" s="11" t="inlineStr">
        <is>
          <t>Papan permintaan beli</t>
        </is>
      </c>
      <c r="C7" s="11" t="inlineStr">
        <is>
          <t>Jordan</t>
        </is>
      </c>
      <c r="D7" s="11" t="inlineStr">
        <is>
          <t>Daftar buyer briket arang di Yordania.</t>
        </is>
      </c>
      <c r="E7" s="12" t="inlineStr">
        <is>
          <t>https://www.go4worldbusiness.com/buyers/jordan/charcoal-briquettes.html</t>
        </is>
      </c>
      <c r="F7" s="16" t="inlineStr">
        <is>
          <t>Belum</t>
        </is>
      </c>
    </row>
    <row r="8">
      <c r="A8" s="11" t="inlineStr">
        <is>
          <t>Tradekey: Lebanon</t>
        </is>
      </c>
      <c r="B8" s="11" t="inlineStr">
        <is>
          <t>Papan permintaan beli</t>
        </is>
      </c>
      <c r="C8" s="11" t="inlineStr">
        <is>
          <t>Lebanon</t>
        </is>
      </c>
      <c r="D8" s="11" t="inlineStr">
        <is>
          <t>Buyer arang hookah Lebanon terbaru.</t>
        </is>
      </c>
      <c r="E8" s="12" t="inlineStr">
        <is>
          <t>https://importer.tradekey.com/lebanon/hookah-charcoal.htm</t>
        </is>
      </c>
      <c r="F8" s="16" t="inlineStr">
        <is>
          <t>Belum</t>
        </is>
      </c>
    </row>
    <row r="9">
      <c r="A9" s="11" t="inlineStr">
        <is>
          <t>EC21: Lebanon</t>
        </is>
      </c>
      <c r="B9" s="11" t="inlineStr">
        <is>
          <t>Papan permintaan beli</t>
        </is>
      </c>
      <c r="C9" s="11" t="inlineStr">
        <is>
          <t>Lebanon/Iraq</t>
        </is>
      </c>
      <c r="D9" s="11" t="inlineStr">
        <is>
          <t>Lead lama (sebagian dari 2014). Pakai hanya sebagai nama perusahaan untuk dicek ulang.</t>
        </is>
      </c>
      <c r="E9" s="12" t="inlineStr">
        <is>
          <t>https://importer.ec21.com/LB/Charcoal--1101.html?isGroupList=N</t>
        </is>
      </c>
      <c r="F9" s="16" t="inlineStr">
        <is>
          <t>Belum</t>
        </is>
      </c>
    </row>
    <row r="10">
      <c r="A10" s="11" t="inlineStr">
        <is>
          <t>Volza</t>
        </is>
      </c>
      <c r="B10" s="11" t="inlineStr">
        <is>
          <t>Data impor bea cukai</t>
        </is>
      </c>
      <c r="C10" s="11" t="inlineStr">
        <is>
          <t>Egypt + negara lain</t>
        </is>
      </c>
      <c r="D10" s="11" t="inlineStr">
        <is>
          <t>21 importir briket arang di Mesir, lengkap dengan tanggal &amp; volume kiriman. Bisa filter negara lain (berbayar untuk detail).</t>
        </is>
      </c>
      <c r="E10" s="12" t="inlineStr">
        <is>
          <t>https://www.volza.com/p/charcoal-briquettes/buyers/buyers-in-egypt/</t>
        </is>
      </c>
      <c r="F10" s="16" t="inlineStr">
        <is>
          <t>Belum</t>
        </is>
      </c>
    </row>
    <row r="11">
      <c r="A11" s="11" t="inlineStr">
        <is>
          <t>Haran Resources</t>
        </is>
      </c>
      <c r="B11" s="11" t="inlineStr">
        <is>
          <t>Papan permintaan beli</t>
        </is>
      </c>
      <c r="C11" s="11" t="inlineStr">
        <is>
          <t>Saudi / UAE</t>
        </is>
      </c>
      <c r="D11" s="11" t="inlineStr">
        <is>
          <t>Permintaan arang tempurung kelapa &amp; hookah dari Saudi dan UAE (tanpa tanggal).</t>
        </is>
      </c>
      <c r="E11" s="12" t="inlineStr">
        <is>
          <t>https://www.haranresources.com/charcoal.html</t>
        </is>
      </c>
      <c r="F11" s="16" t="inlineStr">
        <is>
          <t>Belum</t>
        </is>
      </c>
    </row>
    <row r="12">
      <c r="A12" s="11" t="inlineStr">
        <is>
          <t>Inaexport (Kemendag)</t>
        </is>
      </c>
      <c r="B12" s="11" t="inlineStr">
        <is>
          <t>Pemerintah RI</t>
        </is>
      </c>
      <c r="C12" s="11" t="inlineStr">
        <is>
          <t>Global</t>
        </is>
      </c>
      <c r="D12" s="11" t="inlineStr">
        <is>
          <t>Daftarkan produk Anda; buyer luar negeri yang terverifikasi Kemendag bisa mengirim inquiry. Gratis.</t>
        </is>
      </c>
      <c r="E12" s="12" t="inlineStr">
        <is>
          <t>https://inaexport.id/</t>
        </is>
      </c>
      <c r="F12" s="16" t="inlineStr">
        <is>
          <t>Belum</t>
        </is>
      </c>
    </row>
    <row r="13">
      <c r="A13" s="11" t="inlineStr">
        <is>
          <t>ITPC Dubai &amp; ITPC Jeddah</t>
        </is>
      </c>
      <c r="B13" s="11" t="inlineStr">
        <is>
          <t>Pemerintah RI</t>
        </is>
      </c>
      <c r="C13" s="11" t="inlineStr">
        <is>
          <t>UAE / Saudi</t>
        </is>
      </c>
      <c r="D13" s="11" t="inlineStr">
        <is>
          <t>Pusat promosi dagang RI. Minta dicarikan buyer dan dijadwalkan business matching (online/offline).</t>
        </is>
      </c>
      <c r="E13" s="12" t="inlineStr">
        <is>
          <t>https://inaexport.id/</t>
        </is>
      </c>
      <c r="F13" s="16" t="inlineStr">
        <is>
          <t>Belum</t>
        </is>
      </c>
    </row>
    <row r="14">
      <c r="A14" s="11" t="inlineStr">
        <is>
          <t>Trade Expo Indonesia (TEI)</t>
        </is>
      </c>
      <c r="B14" s="11" t="inlineStr">
        <is>
          <t>Pameran</t>
        </is>
      </c>
      <c r="C14" s="11" t="inlineStr">
        <is>
          <t>Global</t>
        </is>
      </c>
      <c r="D14" s="11" t="inlineStr">
        <is>
          <t>Pameran tahunan (biasanya Oktober) di BSD; banyak buyer Timur Tengah datang. Siapkan sampel &amp; katalog.</t>
        </is>
      </c>
      <c r="E14" s="12" t="inlineStr">
        <is>
          <t>https://tradeexpoindonesia.com/</t>
        </is>
      </c>
      <c r="F14" s="16" t="inlineStr">
        <is>
          <t>Belum</t>
        </is>
      </c>
    </row>
  </sheetData>
  <dataValidations count="1">
    <dataValidation sqref="F3:F14" showDropDown="0" showInputMessage="0" showErrorMessage="0" allowBlank="0" type="list">
      <formula1>"Belum,Sudah,Tidak Relevan"</formula1>
    </dataValidation>
  </dataValidations>
  <hyperlinks>
    <hyperlink xmlns:r="http://schemas.openxmlformats.org/officeDocument/2006/relationships" ref="E3" r:id="rId1"/>
    <hyperlink xmlns:r="http://schemas.openxmlformats.org/officeDocument/2006/relationships" ref="E4" r:id="rId2"/>
    <hyperlink xmlns:r="http://schemas.openxmlformats.org/officeDocument/2006/relationships" ref="E5" r:id="rId3"/>
    <hyperlink xmlns:r="http://schemas.openxmlformats.org/officeDocument/2006/relationships" ref="E6" r:id="rId4"/>
    <hyperlink xmlns:r="http://schemas.openxmlformats.org/officeDocument/2006/relationships" ref="E7" r:id="rId5"/>
    <hyperlink xmlns:r="http://schemas.openxmlformats.org/officeDocument/2006/relationships" ref="E8" r:id="rId6"/>
    <hyperlink xmlns:r="http://schemas.openxmlformats.org/officeDocument/2006/relationships" ref="E9" r:id="rId7"/>
    <hyperlink xmlns:r="http://schemas.openxmlformats.org/officeDocument/2006/relationships" ref="E10" r:id="rId8"/>
    <hyperlink xmlns:r="http://schemas.openxmlformats.org/officeDocument/2006/relationships" ref="E11" r:id="rId9"/>
    <hyperlink xmlns:r="http://schemas.openxmlformats.org/officeDocument/2006/relationships" ref="E12" r:id="rId10"/>
    <hyperlink xmlns:r="http://schemas.openxmlformats.org/officeDocument/2006/relationships" ref="E13" r:id="rId11"/>
    <hyperlink xmlns:r="http://schemas.openxmlformats.org/officeDocument/2006/relationships" ref="E14" r:id="rId12"/>
  </hyperlinks>
  <pageMargins left="0.75" right="0.75" top="1" bottom="1" header="0.5" footer="0.5"/>
  <tableParts count="1">
    <tablePart xmlns:r="http://schemas.openxmlformats.org/officeDocument/2006/relationships" r:id="rId13"/>
  </tableParts>
</worksheet>
</file>

<file path=xl/worksheets/sheet4.xml><?xml version="1.0" encoding="utf-8"?>
<worksheet xmlns="http://schemas.openxmlformats.org/spreadsheetml/2006/main">
  <sheetPr>
    <tabColor rgb="008EA9DB"/>
    <outlinePr summaryBelow="1" summaryRight="1"/>
    <pageSetUpPr/>
  </sheetPr>
  <dimension ref="B2:C29"/>
  <sheetViews>
    <sheetView showGridLines="0" workbookViewId="0">
      <selection activeCell="A1" sqref="A1"/>
    </sheetView>
  </sheetViews>
  <sheetFormatPr baseColWidth="8" defaultRowHeight="15"/>
  <cols>
    <col width="3" customWidth="1" min="1" max="1"/>
    <col width="24" customWidth="1" min="2" max="2"/>
    <col width="110" customWidth="1" min="3" max="3"/>
  </cols>
  <sheetData>
    <row r="2">
      <c r="B2" s="9" t="inlineStr">
        <is>
          <t>TEMPLATE EMAIL &amp; WHATSAPP PENAWARAN</t>
        </is>
      </c>
    </row>
    <row r="3">
      <c r="B3" s="2" t="inlineStr">
        <is>
          <t>Ganti semua teks [DALAM KURUNG]. Spesifikasi diisi dari hasil uji lab Anda sendiri, jangan pakai angka contoh.</t>
        </is>
      </c>
    </row>
    <row r="6">
      <c r="B6" s="3" t="inlineStr">
        <is>
          <t>1. Email perkenalan</t>
        </is>
      </c>
    </row>
    <row r="7" ht="15" customHeight="1">
      <c r="B7" s="17" t="inlineStr">
        <is>
          <t>Subject</t>
        </is>
      </c>
      <c r="C7" s="13" t="inlineStr">
        <is>
          <t>Indonesian Coconut Shisha Charcoal: Direct Factory Supply for [COMPANY NAME]</t>
        </is>
      </c>
    </row>
    <row r="8" ht="540" customHeight="1">
      <c r="B8" s="17" t="inlineStr">
        <is>
          <t>Body</t>
        </is>
      </c>
      <c r="C8" s="13" t="inlineStr">
        <is>
          <t>Dear [Mr./Ms. NAME / Purchasing Team],
I hope this message finds you well. My name is [YOUR NAME] from [YOUR COMPANY], a coconut shell charcoal briquette producer based in [CITY], Indonesia.
We noticed that [COMPANY NAME] supplies shisha charcoal in [COUNTRY/CITY], and we would like to offer you a reliable, direct-from-factory source.
Product specification (lab-tested):
• Raw material: 100% coconut shell charcoal, [binder: tapioca]
• Shape &amp; size: cube [25 x 25 x 25 mm] (other sizes available)
• Ash content: [≤ 2.5%]  |  Ash colour: [white/light grey]
• Moisture: [≤ 6%]  |  Fixed carbon: [≥ 75%]
• Burning time: [≥ 90 minutes]  |  No smell, no sparks, no chemicals
• Packing: [1 kg inner box / 10 kg master carton] or private label
• Capacity: [1–3] x 20ft container per month (approx. 18 tons per 20ft)
Commercial terms:
• Price: USD [PRICE] per ton [FOB Surabaya/Semarang/Jakarta] or [CIF YOUR PORT] on request
• MOQ: 1 x 20ft container  |  Payment: [30% T/T deposit, 70% against B/L copy] or L/C at sight
• Lead time: [21–30] days after deposit  |  Private label &amp; custom packaging available
• Documents: COA, MSDS, non-dangerous-goods (self-heating) test, Certificate of Origin
We would be happy to send free samples (courier cost [shared / on us]) so you can test the burning quality yourself.
May I know your monthly requirement and preferred size, so I can prepare a formal quotation?
Best regards,
[YOUR NAME]
[POSITION] | [YOUR COMPANY]
WhatsApp: [+62 ...] | Email: [EMAIL] | Website: [WEBSITE]</t>
        </is>
      </c>
    </row>
    <row r="10">
      <c r="B10" s="3" t="inlineStr">
        <is>
          <t>2. Follow-up (hari ke-4)</t>
        </is>
      </c>
    </row>
    <row r="11" ht="15" customHeight="1">
      <c r="B11" s="17" t="inlineStr">
        <is>
          <t>Subject</t>
        </is>
      </c>
      <c r="C11" s="13" t="inlineStr">
        <is>
          <t>Re: Indonesian Coconut Shisha Charcoal: Free Samples for [COMPANY NAME]</t>
        </is>
      </c>
    </row>
    <row r="12" ht="175.5" customHeight="1">
      <c r="B12" s="17" t="inlineStr">
        <is>
          <t>Body</t>
        </is>
      </c>
      <c r="C12" s="13" t="inlineStr">
        <is>
          <t>Dear [NAME],
I am following up on my previous email about our coconut shisha charcoal. I have attached our product photos and lab test report for your reference.
Many of our buyers start with one mixed container (e.g., 25 mm and 26 mm cubes) to test the market. We can also pack under your own brand.
Would you like us to send samples this week? Please share your delivery address and the contact person.
Best regards,
[YOUR NAME]</t>
        </is>
      </c>
    </row>
    <row r="14">
      <c r="B14" s="3" t="inlineStr">
        <is>
          <t>3. Follow-up terakhir (hari ke-10)</t>
        </is>
      </c>
    </row>
    <row r="15" ht="15" customHeight="1">
      <c r="B15" s="17" t="inlineStr">
        <is>
          <t>Subject</t>
        </is>
      </c>
      <c r="C15" s="13" t="inlineStr">
        <is>
          <t>Ramadan 2027 stock: shisha charcoal booking for [COMPANY NAME]</t>
        </is>
      </c>
    </row>
    <row r="16" ht="175.5" customHeight="1">
      <c r="B16" s="17" t="inlineStr">
        <is>
          <t>Body</t>
        </is>
      </c>
      <c r="C16" s="13" t="inlineStr">
        <is>
          <t>Dear [NAME],
Ramadan season is the peak period for shisha charcoal. With 25–45 days shipping time to [COUNTRY], orders confirmed before [DATE, e.g. 15 December 2026] will arrive in time for the season.
We still have production slots available for [MONTH]. If now is not the right time, could you let me know who handles purchasing, or when I may contact you again?
Thank you for your time.
Best regards,
[YOUR NAME]</t>
        </is>
      </c>
    </row>
    <row r="18">
      <c r="B18" s="3" t="inlineStr">
        <is>
          <t>4. WhatsApp singkat</t>
        </is>
      </c>
    </row>
    <row r="19" ht="40.5" customHeight="1">
      <c r="B19" s="17" t="inlineStr">
        <is>
          <t>Pesan</t>
        </is>
      </c>
      <c r="C19" s="13" t="inlineStr">
        <is>
          <t>Assalamu'alaikum [NAME], this is [YOUR NAME] from [YOUR COMPANY], Indonesia. We produce 100% coconut shell shisha charcoal (ash ≤ [2.5]%, burning ≥ [90] min), capacity [1–3] containers/month, private label available. May I send you our price list and free samples? Thank you 🙏</t>
        </is>
      </c>
    </row>
    <row r="21">
      <c r="B21" s="3" t="inlineStr">
        <is>
          <t>5. Balasan minta harga</t>
        </is>
      </c>
    </row>
    <row r="22" ht="256.5" customHeight="1">
      <c r="B22" s="17" t="inlineStr">
        <is>
          <t>Body</t>
        </is>
      </c>
      <c r="C22" s="13" t="inlineStr">
        <is>
          <t>Dear [NAME],
Thank you for your interest. Please find our quotation below:
• Product: Coconut shisha charcoal cube [SIZE]
• Quantity: [X] x 20ft container ([X] tons)
• Price: USD [PRICE]/ton [INCOTERM + PORT]
• Packing: [DETAIL]
• Payment: [TERMS]
• Delivery: [X] days after deposit
• Validity: [14] days
Proforma invoice will be issued upon your confirmation.
Best regards,
[YOUR NAME]</t>
        </is>
      </c>
    </row>
    <row r="24">
      <c r="B24" s="3" t="inlineStr">
        <is>
          <t>TIPS</t>
        </is>
      </c>
    </row>
    <row r="25">
      <c r="C25" s="5" t="inlineStr">
        <is>
          <t>• Kirim email pagi waktu Timur Tengah (UTC+3/+4), kira-kira pukul 13.00–15.00 WIB, Minggu–Kamis.</t>
        </is>
      </c>
    </row>
    <row r="26">
      <c r="C26" s="5" t="inlineStr">
        <is>
          <t>• Banyak buyer Timur Tengah lebih cepat membalas di WhatsApp; kirim WA setelah email pertama.</t>
        </is>
      </c>
    </row>
    <row r="27">
      <c r="C27" s="5" t="inlineStr">
        <is>
          <t>• Lampirkan foto produk (uji bakar &amp; warna abu) dan hasil lab. Ini lebih meyakinkan daripada deskripsi panjang.</t>
        </is>
      </c>
    </row>
    <row r="28">
      <c r="C28" s="5" t="inlineStr">
        <is>
          <t>• Jangan kirim harga final sebelum tahu volume, ukuran, dan pelabuhan tujuan buyer.</t>
        </is>
      </c>
    </row>
    <row r="29">
      <c r="C29" s="5" t="inlineStr">
        <is>
          <t>• Catat setiap kiriman di Database Buyer (Status + tanggal Follow-up). Tanggal yang sudah lewat otomatis berwarna merah.</t>
        </is>
      </c>
    </row>
  </sheetData>
  <pageMargins left="0.75" right="0.75" top="1" bottom="1" header="0.5" footer="0.5"/>
</worksheet>
</file>

<file path=xl/worksheets/sheet5.xml><?xml version="1.0" encoding="utf-8"?>
<worksheet xmlns="http://schemas.openxmlformats.org/spreadsheetml/2006/main">
  <sheetPr>
    <tabColor rgb="008EA9DB"/>
    <outlinePr summaryBelow="1" summaryRight="1"/>
    <pageSetUpPr/>
  </sheetPr>
  <dimension ref="A1:P202"/>
  <sheetViews>
    <sheetView showGridLines="0" workbookViewId="0">
      <pane xSplit="4" ySplit="2" topLeftCell="E3" activePane="bottomRight" state="frozen"/>
      <selection pane="topRight"/>
      <selection pane="bottomLeft"/>
      <selection pane="bottomRight" activeCell="A1" sqref="A1"/>
    </sheetView>
  </sheetViews>
  <sheetFormatPr baseColWidth="8" defaultRowHeight="15"/>
  <cols>
    <col width="15" customWidth="1" min="1" max="1"/>
    <col width="12" customWidth="1" min="2" max="2"/>
    <col width="10" customWidth="1" min="3" max="3"/>
    <col width="34" customWidth="1" min="4" max="4"/>
    <col width="13" customWidth="1" min="5" max="5"/>
    <col width="10" customWidth="1" min="6" max="6"/>
    <col width="18" customWidth="1" min="7" max="7"/>
    <col width="12" customWidth="1" min="8" max="8"/>
    <col width="12" customWidth="1" min="9" max="9"/>
    <col width="12" customWidth="1" min="10" max="10"/>
    <col width="14" customWidth="1" min="11" max="11"/>
    <col width="14" customWidth="1" min="12" max="12"/>
    <col width="18" customWidth="1" min="13" max="13"/>
    <col width="12" customWidth="1" min="14" max="14"/>
    <col width="13" customWidth="1" min="15" max="15"/>
    <col width="36" customWidth="1" min="16" max="16"/>
  </cols>
  <sheetData>
    <row r="1">
      <c r="A1" s="9" t="inlineStr">
        <is>
          <t>CATATAN PENAWARAN HARGA</t>
        </is>
      </c>
    </row>
    <row r="2">
      <c r="A2" s="10" t="inlineStr">
        <is>
          <t>No. Penawaran</t>
        </is>
      </c>
      <c r="B2" s="10" t="inlineStr">
        <is>
          <t>Tanggal</t>
        </is>
      </c>
      <c r="C2" s="10" t="inlineStr">
        <is>
          <t>ID Buyer</t>
        </is>
      </c>
      <c r="D2" s="10" t="inlineStr">
        <is>
          <t>Perusahaan</t>
        </is>
      </c>
      <c r="E2" s="10" t="inlineStr">
        <is>
          <t>Negara</t>
        </is>
      </c>
      <c r="F2" s="10" t="inlineStr">
        <is>
          <t>Incoterm</t>
        </is>
      </c>
      <c r="G2" s="10" t="inlineStr">
        <is>
          <t>Pelabuhan Tujuan</t>
        </is>
      </c>
      <c r="H2" s="10" t="inlineStr">
        <is>
          <t>Ukuran</t>
        </is>
      </c>
      <c r="I2" s="10" t="inlineStr">
        <is>
          <t>Jml Kontainer 20ft</t>
        </is>
      </c>
      <c r="J2" s="10" t="inlineStr">
        <is>
          <t>Volume (ton)</t>
        </is>
      </c>
      <c r="K2" s="10" t="inlineStr">
        <is>
          <t>Harga (USD/ton)</t>
        </is>
      </c>
      <c r="L2" s="10" t="inlineStr">
        <is>
          <t>Nilai (USD)</t>
        </is>
      </c>
      <c r="M2" s="10" t="inlineStr">
        <is>
          <t>Nilai (IDR)</t>
        </is>
      </c>
      <c r="N2" s="10" t="inlineStr">
        <is>
          <t>Berlaku s/d</t>
        </is>
      </c>
      <c r="O2" s="10" t="inlineStr">
        <is>
          <t>Status</t>
        </is>
      </c>
      <c r="P2" s="10" t="inlineStr">
        <is>
          <t>Catatan</t>
        </is>
      </c>
    </row>
    <row r="3">
      <c r="A3" s="16" t="inlineStr">
        <is>
          <t>QT-2026-001</t>
        </is>
      </c>
      <c r="B3" s="18" t="n">
        <v>46310</v>
      </c>
      <c r="C3" s="16" t="inlineStr">
        <is>
          <t>B001</t>
        </is>
      </c>
      <c r="D3" s="19">
        <f>IF(C3="","",IFERROR(INDEX('Database Buyer'!$B$3:$B$202,MATCH(C3,'Database Buyer'!$A$3:$A$202,0)),"ID tidak ditemukan"))</f>
        <v/>
      </c>
      <c r="E3" s="19">
        <f>IF(C3="","",IFERROR(INDEX('Database Buyer'!$C$3:$C$202,MATCH(C3,'Database Buyer'!$A$3:$A$202,0)),""))</f>
        <v/>
      </c>
      <c r="F3" s="16" t="inlineStr">
        <is>
          <t>CIF</t>
        </is>
      </c>
      <c r="G3" s="16" t="inlineStr">
        <is>
          <t>Jebel Ali</t>
        </is>
      </c>
      <c r="H3" s="16" t="inlineStr">
        <is>
          <t>25 mm</t>
        </is>
      </c>
      <c r="I3" s="16" t="n">
        <v>1</v>
      </c>
      <c r="J3" s="20">
        <f>IF(I3="","",I3*Panduan!$C$25)</f>
        <v/>
      </c>
      <c r="K3" s="21" t="n">
        <v>1100</v>
      </c>
      <c r="L3" s="22">
        <f>IF(OR(J3="",K3=""),"",J3*K3)</f>
        <v/>
      </c>
      <c r="M3" s="23">
        <f>IF(L3="","",L3*Panduan!$C$24)</f>
        <v/>
      </c>
      <c r="N3" s="18" t="n">
        <v>46324</v>
      </c>
      <c r="O3" s="16" t="inlineStr">
        <is>
          <t>Draft</t>
        </is>
      </c>
      <c r="P3" s="16" t="inlineStr">
        <is>
          <t>CONTOH: ganti/hapus baris ini. Harga ilustrasi, bukan harga pasar.</t>
        </is>
      </c>
    </row>
    <row r="4">
      <c r="A4" s="16" t="n"/>
      <c r="B4" s="18" t="n"/>
      <c r="C4" s="16" t="n"/>
      <c r="D4" s="19">
        <f>IF(C4="","",IFERROR(INDEX('Database Buyer'!$B$3:$B$202,MATCH(C4,'Database Buyer'!$A$3:$A$202,0)),"ID tidak ditemukan"))</f>
        <v/>
      </c>
      <c r="E4" s="19">
        <f>IF(C4="","",IFERROR(INDEX('Database Buyer'!$C$3:$C$202,MATCH(C4,'Database Buyer'!$A$3:$A$202,0)),""))</f>
        <v/>
      </c>
      <c r="F4" s="16" t="n"/>
      <c r="G4" s="16" t="n"/>
      <c r="H4" s="16" t="n"/>
      <c r="I4" s="16" t="n"/>
      <c r="J4" s="20">
        <f>IF(I4="","",I4*Panduan!$C$25)</f>
        <v/>
      </c>
      <c r="K4" s="21" t="n"/>
      <c r="L4" s="22">
        <f>IF(OR(J4="",K4=""),"",J4*K4)</f>
        <v/>
      </c>
      <c r="M4" s="23">
        <f>IF(L4="","",L4*Panduan!$C$24)</f>
        <v/>
      </c>
      <c r="N4" s="18" t="n"/>
      <c r="O4" s="16" t="n"/>
      <c r="P4" s="16" t="n"/>
    </row>
    <row r="5">
      <c r="A5" s="16" t="n"/>
      <c r="B5" s="18" t="n"/>
      <c r="C5" s="16" t="n"/>
      <c r="D5" s="19">
        <f>IF(C5="","",IFERROR(INDEX('Database Buyer'!$B$3:$B$202,MATCH(C5,'Database Buyer'!$A$3:$A$202,0)),"ID tidak ditemukan"))</f>
        <v/>
      </c>
      <c r="E5" s="19">
        <f>IF(C5="","",IFERROR(INDEX('Database Buyer'!$C$3:$C$202,MATCH(C5,'Database Buyer'!$A$3:$A$202,0)),""))</f>
        <v/>
      </c>
      <c r="F5" s="16" t="n"/>
      <c r="G5" s="16" t="n"/>
      <c r="H5" s="16" t="n"/>
      <c r="I5" s="16" t="n"/>
      <c r="J5" s="20">
        <f>IF(I5="","",I5*Panduan!$C$25)</f>
        <v/>
      </c>
      <c r="K5" s="21" t="n"/>
      <c r="L5" s="22">
        <f>IF(OR(J5="",K5=""),"",J5*K5)</f>
        <v/>
      </c>
      <c r="M5" s="23">
        <f>IF(L5="","",L5*Panduan!$C$24)</f>
        <v/>
      </c>
      <c r="N5" s="18" t="n"/>
      <c r="O5" s="16" t="n"/>
      <c r="P5" s="16" t="n"/>
    </row>
    <row r="6">
      <c r="A6" s="16" t="n"/>
      <c r="B6" s="18" t="n"/>
      <c r="C6" s="16" t="n"/>
      <c r="D6" s="19">
        <f>IF(C6="","",IFERROR(INDEX('Database Buyer'!$B$3:$B$202,MATCH(C6,'Database Buyer'!$A$3:$A$202,0)),"ID tidak ditemukan"))</f>
        <v/>
      </c>
      <c r="E6" s="19">
        <f>IF(C6="","",IFERROR(INDEX('Database Buyer'!$C$3:$C$202,MATCH(C6,'Database Buyer'!$A$3:$A$202,0)),""))</f>
        <v/>
      </c>
      <c r="F6" s="16" t="n"/>
      <c r="G6" s="16" t="n"/>
      <c r="H6" s="16" t="n"/>
      <c r="I6" s="16" t="n"/>
      <c r="J6" s="20">
        <f>IF(I6="","",I6*Panduan!$C$25)</f>
        <v/>
      </c>
      <c r="K6" s="21" t="n"/>
      <c r="L6" s="22">
        <f>IF(OR(J6="",K6=""),"",J6*K6)</f>
        <v/>
      </c>
      <c r="M6" s="23">
        <f>IF(L6="","",L6*Panduan!$C$24)</f>
        <v/>
      </c>
      <c r="N6" s="18" t="n"/>
      <c r="O6" s="16" t="n"/>
      <c r="P6" s="16" t="n"/>
    </row>
    <row r="7">
      <c r="A7" s="16" t="n"/>
      <c r="B7" s="18" t="n"/>
      <c r="C7" s="16" t="n"/>
      <c r="D7" s="19">
        <f>IF(C7="","",IFERROR(INDEX('Database Buyer'!$B$3:$B$202,MATCH(C7,'Database Buyer'!$A$3:$A$202,0)),"ID tidak ditemukan"))</f>
        <v/>
      </c>
      <c r="E7" s="19">
        <f>IF(C7="","",IFERROR(INDEX('Database Buyer'!$C$3:$C$202,MATCH(C7,'Database Buyer'!$A$3:$A$202,0)),""))</f>
        <v/>
      </c>
      <c r="F7" s="16" t="n"/>
      <c r="G7" s="16" t="n"/>
      <c r="H7" s="16" t="n"/>
      <c r="I7" s="16" t="n"/>
      <c r="J7" s="20">
        <f>IF(I7="","",I7*Panduan!$C$25)</f>
        <v/>
      </c>
      <c r="K7" s="21" t="n"/>
      <c r="L7" s="22">
        <f>IF(OR(J7="",K7=""),"",J7*K7)</f>
        <v/>
      </c>
      <c r="M7" s="23">
        <f>IF(L7="","",L7*Panduan!$C$24)</f>
        <v/>
      </c>
      <c r="N7" s="18" t="n"/>
      <c r="O7" s="16" t="n"/>
      <c r="P7" s="16" t="n"/>
    </row>
    <row r="8">
      <c r="A8" s="16" t="n"/>
      <c r="B8" s="18" t="n"/>
      <c r="C8" s="16" t="n"/>
      <c r="D8" s="19">
        <f>IF(C8="","",IFERROR(INDEX('Database Buyer'!$B$3:$B$202,MATCH(C8,'Database Buyer'!$A$3:$A$202,0)),"ID tidak ditemukan"))</f>
        <v/>
      </c>
      <c r="E8" s="19">
        <f>IF(C8="","",IFERROR(INDEX('Database Buyer'!$C$3:$C$202,MATCH(C8,'Database Buyer'!$A$3:$A$202,0)),""))</f>
        <v/>
      </c>
      <c r="F8" s="16" t="n"/>
      <c r="G8" s="16" t="n"/>
      <c r="H8" s="16" t="n"/>
      <c r="I8" s="16" t="n"/>
      <c r="J8" s="20">
        <f>IF(I8="","",I8*Panduan!$C$25)</f>
        <v/>
      </c>
      <c r="K8" s="21" t="n"/>
      <c r="L8" s="22">
        <f>IF(OR(J8="",K8=""),"",J8*K8)</f>
        <v/>
      </c>
      <c r="M8" s="23">
        <f>IF(L8="","",L8*Panduan!$C$24)</f>
        <v/>
      </c>
      <c r="N8" s="18" t="n"/>
      <c r="O8" s="16" t="n"/>
      <c r="P8" s="16" t="n"/>
    </row>
    <row r="9">
      <c r="A9" s="16" t="n"/>
      <c r="B9" s="18" t="n"/>
      <c r="C9" s="16" t="n"/>
      <c r="D9" s="19">
        <f>IF(C9="","",IFERROR(INDEX('Database Buyer'!$B$3:$B$202,MATCH(C9,'Database Buyer'!$A$3:$A$202,0)),"ID tidak ditemukan"))</f>
        <v/>
      </c>
      <c r="E9" s="19">
        <f>IF(C9="","",IFERROR(INDEX('Database Buyer'!$C$3:$C$202,MATCH(C9,'Database Buyer'!$A$3:$A$202,0)),""))</f>
        <v/>
      </c>
      <c r="F9" s="16" t="n"/>
      <c r="G9" s="16" t="n"/>
      <c r="H9" s="16" t="n"/>
      <c r="I9" s="16" t="n"/>
      <c r="J9" s="20">
        <f>IF(I9="","",I9*Panduan!$C$25)</f>
        <v/>
      </c>
      <c r="K9" s="21" t="n"/>
      <c r="L9" s="22">
        <f>IF(OR(J9="",K9=""),"",J9*K9)</f>
        <v/>
      </c>
      <c r="M9" s="23">
        <f>IF(L9="","",L9*Panduan!$C$24)</f>
        <v/>
      </c>
      <c r="N9" s="18" t="n"/>
      <c r="O9" s="16" t="n"/>
      <c r="P9" s="16" t="n"/>
    </row>
    <row r="10">
      <c r="A10" s="16" t="n"/>
      <c r="B10" s="18" t="n"/>
      <c r="C10" s="16" t="n"/>
      <c r="D10" s="19">
        <f>IF(C10="","",IFERROR(INDEX('Database Buyer'!$B$3:$B$202,MATCH(C10,'Database Buyer'!$A$3:$A$202,0)),"ID tidak ditemukan"))</f>
        <v/>
      </c>
      <c r="E10" s="19">
        <f>IF(C10="","",IFERROR(INDEX('Database Buyer'!$C$3:$C$202,MATCH(C10,'Database Buyer'!$A$3:$A$202,0)),""))</f>
        <v/>
      </c>
      <c r="F10" s="16" t="n"/>
      <c r="G10" s="16" t="n"/>
      <c r="H10" s="16" t="n"/>
      <c r="I10" s="16" t="n"/>
      <c r="J10" s="20">
        <f>IF(I10="","",I10*Panduan!$C$25)</f>
        <v/>
      </c>
      <c r="K10" s="21" t="n"/>
      <c r="L10" s="22">
        <f>IF(OR(J10="",K10=""),"",J10*K10)</f>
        <v/>
      </c>
      <c r="M10" s="23">
        <f>IF(L10="","",L10*Panduan!$C$24)</f>
        <v/>
      </c>
      <c r="N10" s="18" t="n"/>
      <c r="O10" s="16" t="n"/>
      <c r="P10" s="16" t="n"/>
    </row>
    <row r="11">
      <c r="A11" s="16" t="n"/>
      <c r="B11" s="18" t="n"/>
      <c r="C11" s="16" t="n"/>
      <c r="D11" s="19">
        <f>IF(C11="","",IFERROR(INDEX('Database Buyer'!$B$3:$B$202,MATCH(C11,'Database Buyer'!$A$3:$A$202,0)),"ID tidak ditemukan"))</f>
        <v/>
      </c>
      <c r="E11" s="19">
        <f>IF(C11="","",IFERROR(INDEX('Database Buyer'!$C$3:$C$202,MATCH(C11,'Database Buyer'!$A$3:$A$202,0)),""))</f>
        <v/>
      </c>
      <c r="F11" s="16" t="n"/>
      <c r="G11" s="16" t="n"/>
      <c r="H11" s="16" t="n"/>
      <c r="I11" s="16" t="n"/>
      <c r="J11" s="20">
        <f>IF(I11="","",I11*Panduan!$C$25)</f>
        <v/>
      </c>
      <c r="K11" s="21" t="n"/>
      <c r="L11" s="22">
        <f>IF(OR(J11="",K11=""),"",J11*K11)</f>
        <v/>
      </c>
      <c r="M11" s="23">
        <f>IF(L11="","",L11*Panduan!$C$24)</f>
        <v/>
      </c>
      <c r="N11" s="18" t="n"/>
      <c r="O11" s="16" t="n"/>
      <c r="P11" s="16" t="n"/>
    </row>
    <row r="12">
      <c r="A12" s="16" t="n"/>
      <c r="B12" s="18" t="n"/>
      <c r="C12" s="16" t="n"/>
      <c r="D12" s="19">
        <f>IF(C12="","",IFERROR(INDEX('Database Buyer'!$B$3:$B$202,MATCH(C12,'Database Buyer'!$A$3:$A$202,0)),"ID tidak ditemukan"))</f>
        <v/>
      </c>
      <c r="E12" s="19">
        <f>IF(C12="","",IFERROR(INDEX('Database Buyer'!$C$3:$C$202,MATCH(C12,'Database Buyer'!$A$3:$A$202,0)),""))</f>
        <v/>
      </c>
      <c r="F12" s="16" t="n"/>
      <c r="G12" s="16" t="n"/>
      <c r="H12" s="16" t="n"/>
      <c r="I12" s="16" t="n"/>
      <c r="J12" s="20">
        <f>IF(I12="","",I12*Panduan!$C$25)</f>
        <v/>
      </c>
      <c r="K12" s="21" t="n"/>
      <c r="L12" s="22">
        <f>IF(OR(J12="",K12=""),"",J12*K12)</f>
        <v/>
      </c>
      <c r="M12" s="23">
        <f>IF(L12="","",L12*Panduan!$C$24)</f>
        <v/>
      </c>
      <c r="N12" s="18" t="n"/>
      <c r="O12" s="16" t="n"/>
      <c r="P12" s="16" t="n"/>
    </row>
    <row r="13">
      <c r="A13" s="16" t="n"/>
      <c r="B13" s="18" t="n"/>
      <c r="C13" s="16" t="n"/>
      <c r="D13" s="19">
        <f>IF(C13="","",IFERROR(INDEX('Database Buyer'!$B$3:$B$202,MATCH(C13,'Database Buyer'!$A$3:$A$202,0)),"ID tidak ditemukan"))</f>
        <v/>
      </c>
      <c r="E13" s="19">
        <f>IF(C13="","",IFERROR(INDEX('Database Buyer'!$C$3:$C$202,MATCH(C13,'Database Buyer'!$A$3:$A$202,0)),""))</f>
        <v/>
      </c>
      <c r="F13" s="16" t="n"/>
      <c r="G13" s="16" t="n"/>
      <c r="H13" s="16" t="n"/>
      <c r="I13" s="16" t="n"/>
      <c r="J13" s="20">
        <f>IF(I13="","",I13*Panduan!$C$25)</f>
        <v/>
      </c>
      <c r="K13" s="21" t="n"/>
      <c r="L13" s="22">
        <f>IF(OR(J13="",K13=""),"",J13*K13)</f>
        <v/>
      </c>
      <c r="M13" s="23">
        <f>IF(L13="","",L13*Panduan!$C$24)</f>
        <v/>
      </c>
      <c r="N13" s="18" t="n"/>
      <c r="O13" s="16" t="n"/>
      <c r="P13" s="16" t="n"/>
    </row>
    <row r="14">
      <c r="A14" s="16" t="n"/>
      <c r="B14" s="18" t="n"/>
      <c r="C14" s="16" t="n"/>
      <c r="D14" s="19">
        <f>IF(C14="","",IFERROR(INDEX('Database Buyer'!$B$3:$B$202,MATCH(C14,'Database Buyer'!$A$3:$A$202,0)),"ID tidak ditemukan"))</f>
        <v/>
      </c>
      <c r="E14" s="19">
        <f>IF(C14="","",IFERROR(INDEX('Database Buyer'!$C$3:$C$202,MATCH(C14,'Database Buyer'!$A$3:$A$202,0)),""))</f>
        <v/>
      </c>
      <c r="F14" s="16" t="n"/>
      <c r="G14" s="16" t="n"/>
      <c r="H14" s="16" t="n"/>
      <c r="I14" s="16" t="n"/>
      <c r="J14" s="20">
        <f>IF(I14="","",I14*Panduan!$C$25)</f>
        <v/>
      </c>
      <c r="K14" s="21" t="n"/>
      <c r="L14" s="22">
        <f>IF(OR(J14="",K14=""),"",J14*K14)</f>
        <v/>
      </c>
      <c r="M14" s="23">
        <f>IF(L14="","",L14*Panduan!$C$24)</f>
        <v/>
      </c>
      <c r="N14" s="18" t="n"/>
      <c r="O14" s="16" t="n"/>
      <c r="P14" s="16" t="n"/>
    </row>
    <row r="15">
      <c r="A15" s="16" t="n"/>
      <c r="B15" s="18" t="n"/>
      <c r="C15" s="16" t="n"/>
      <c r="D15" s="19">
        <f>IF(C15="","",IFERROR(INDEX('Database Buyer'!$B$3:$B$202,MATCH(C15,'Database Buyer'!$A$3:$A$202,0)),"ID tidak ditemukan"))</f>
        <v/>
      </c>
      <c r="E15" s="19">
        <f>IF(C15="","",IFERROR(INDEX('Database Buyer'!$C$3:$C$202,MATCH(C15,'Database Buyer'!$A$3:$A$202,0)),""))</f>
        <v/>
      </c>
      <c r="F15" s="16" t="n"/>
      <c r="G15" s="16" t="n"/>
      <c r="H15" s="16" t="n"/>
      <c r="I15" s="16" t="n"/>
      <c r="J15" s="20">
        <f>IF(I15="","",I15*Panduan!$C$25)</f>
        <v/>
      </c>
      <c r="K15" s="21" t="n"/>
      <c r="L15" s="22">
        <f>IF(OR(J15="",K15=""),"",J15*K15)</f>
        <v/>
      </c>
      <c r="M15" s="23">
        <f>IF(L15="","",L15*Panduan!$C$24)</f>
        <v/>
      </c>
      <c r="N15" s="18" t="n"/>
      <c r="O15" s="16" t="n"/>
      <c r="P15" s="16" t="n"/>
    </row>
    <row r="16">
      <c r="A16" s="16" t="n"/>
      <c r="B16" s="18" t="n"/>
      <c r="C16" s="16" t="n"/>
      <c r="D16" s="19">
        <f>IF(C16="","",IFERROR(INDEX('Database Buyer'!$B$3:$B$202,MATCH(C16,'Database Buyer'!$A$3:$A$202,0)),"ID tidak ditemukan"))</f>
        <v/>
      </c>
      <c r="E16" s="19">
        <f>IF(C16="","",IFERROR(INDEX('Database Buyer'!$C$3:$C$202,MATCH(C16,'Database Buyer'!$A$3:$A$202,0)),""))</f>
        <v/>
      </c>
      <c r="F16" s="16" t="n"/>
      <c r="G16" s="16" t="n"/>
      <c r="H16" s="16" t="n"/>
      <c r="I16" s="16" t="n"/>
      <c r="J16" s="20">
        <f>IF(I16="","",I16*Panduan!$C$25)</f>
        <v/>
      </c>
      <c r="K16" s="21" t="n"/>
      <c r="L16" s="22">
        <f>IF(OR(J16="",K16=""),"",J16*K16)</f>
        <v/>
      </c>
      <c r="M16" s="23">
        <f>IF(L16="","",L16*Panduan!$C$24)</f>
        <v/>
      </c>
      <c r="N16" s="18" t="n"/>
      <c r="O16" s="16" t="n"/>
      <c r="P16" s="16" t="n"/>
    </row>
    <row r="17">
      <c r="A17" s="16" t="n"/>
      <c r="B17" s="18" t="n"/>
      <c r="C17" s="16" t="n"/>
      <c r="D17" s="19">
        <f>IF(C17="","",IFERROR(INDEX('Database Buyer'!$B$3:$B$202,MATCH(C17,'Database Buyer'!$A$3:$A$202,0)),"ID tidak ditemukan"))</f>
        <v/>
      </c>
      <c r="E17" s="19">
        <f>IF(C17="","",IFERROR(INDEX('Database Buyer'!$C$3:$C$202,MATCH(C17,'Database Buyer'!$A$3:$A$202,0)),""))</f>
        <v/>
      </c>
      <c r="F17" s="16" t="n"/>
      <c r="G17" s="16" t="n"/>
      <c r="H17" s="16" t="n"/>
      <c r="I17" s="16" t="n"/>
      <c r="J17" s="20">
        <f>IF(I17="","",I17*Panduan!$C$25)</f>
        <v/>
      </c>
      <c r="K17" s="21" t="n"/>
      <c r="L17" s="22">
        <f>IF(OR(J17="",K17=""),"",J17*K17)</f>
        <v/>
      </c>
      <c r="M17" s="23">
        <f>IF(L17="","",L17*Panduan!$C$24)</f>
        <v/>
      </c>
      <c r="N17" s="18" t="n"/>
      <c r="O17" s="16" t="n"/>
      <c r="P17" s="16" t="n"/>
    </row>
    <row r="18">
      <c r="A18" s="16" t="n"/>
      <c r="B18" s="18" t="n"/>
      <c r="C18" s="16" t="n"/>
      <c r="D18" s="19">
        <f>IF(C18="","",IFERROR(INDEX('Database Buyer'!$B$3:$B$202,MATCH(C18,'Database Buyer'!$A$3:$A$202,0)),"ID tidak ditemukan"))</f>
        <v/>
      </c>
      <c r="E18" s="19">
        <f>IF(C18="","",IFERROR(INDEX('Database Buyer'!$C$3:$C$202,MATCH(C18,'Database Buyer'!$A$3:$A$202,0)),""))</f>
        <v/>
      </c>
      <c r="F18" s="16" t="n"/>
      <c r="G18" s="16" t="n"/>
      <c r="H18" s="16" t="n"/>
      <c r="I18" s="16" t="n"/>
      <c r="J18" s="20">
        <f>IF(I18="","",I18*Panduan!$C$25)</f>
        <v/>
      </c>
      <c r="K18" s="21" t="n"/>
      <c r="L18" s="22">
        <f>IF(OR(J18="",K18=""),"",J18*K18)</f>
        <v/>
      </c>
      <c r="M18" s="23">
        <f>IF(L18="","",L18*Panduan!$C$24)</f>
        <v/>
      </c>
      <c r="N18" s="18" t="n"/>
      <c r="O18" s="16" t="n"/>
      <c r="P18" s="16" t="n"/>
    </row>
    <row r="19">
      <c r="A19" s="16" t="n"/>
      <c r="B19" s="18" t="n"/>
      <c r="C19" s="16" t="n"/>
      <c r="D19" s="19">
        <f>IF(C19="","",IFERROR(INDEX('Database Buyer'!$B$3:$B$202,MATCH(C19,'Database Buyer'!$A$3:$A$202,0)),"ID tidak ditemukan"))</f>
        <v/>
      </c>
      <c r="E19" s="19">
        <f>IF(C19="","",IFERROR(INDEX('Database Buyer'!$C$3:$C$202,MATCH(C19,'Database Buyer'!$A$3:$A$202,0)),""))</f>
        <v/>
      </c>
      <c r="F19" s="16" t="n"/>
      <c r="G19" s="16" t="n"/>
      <c r="H19" s="16" t="n"/>
      <c r="I19" s="16" t="n"/>
      <c r="J19" s="20">
        <f>IF(I19="","",I19*Panduan!$C$25)</f>
        <v/>
      </c>
      <c r="K19" s="21" t="n"/>
      <c r="L19" s="22">
        <f>IF(OR(J19="",K19=""),"",J19*K19)</f>
        <v/>
      </c>
      <c r="M19" s="23">
        <f>IF(L19="","",L19*Panduan!$C$24)</f>
        <v/>
      </c>
      <c r="N19" s="18" t="n"/>
      <c r="O19" s="16" t="n"/>
      <c r="P19" s="16" t="n"/>
    </row>
    <row r="20">
      <c r="A20" s="16" t="n"/>
      <c r="B20" s="18" t="n"/>
      <c r="C20" s="16" t="n"/>
      <c r="D20" s="19">
        <f>IF(C20="","",IFERROR(INDEX('Database Buyer'!$B$3:$B$202,MATCH(C20,'Database Buyer'!$A$3:$A$202,0)),"ID tidak ditemukan"))</f>
        <v/>
      </c>
      <c r="E20" s="19">
        <f>IF(C20="","",IFERROR(INDEX('Database Buyer'!$C$3:$C$202,MATCH(C20,'Database Buyer'!$A$3:$A$202,0)),""))</f>
        <v/>
      </c>
      <c r="F20" s="16" t="n"/>
      <c r="G20" s="16" t="n"/>
      <c r="H20" s="16" t="n"/>
      <c r="I20" s="16" t="n"/>
      <c r="J20" s="20">
        <f>IF(I20="","",I20*Panduan!$C$25)</f>
        <v/>
      </c>
      <c r="K20" s="21" t="n"/>
      <c r="L20" s="22">
        <f>IF(OR(J20="",K20=""),"",J20*K20)</f>
        <v/>
      </c>
      <c r="M20" s="23">
        <f>IF(L20="","",L20*Panduan!$C$24)</f>
        <v/>
      </c>
      <c r="N20" s="18" t="n"/>
      <c r="O20" s="16" t="n"/>
      <c r="P20" s="16" t="n"/>
    </row>
    <row r="21">
      <c r="A21" s="16" t="n"/>
      <c r="B21" s="18" t="n"/>
      <c r="C21" s="16" t="n"/>
      <c r="D21" s="19">
        <f>IF(C21="","",IFERROR(INDEX('Database Buyer'!$B$3:$B$202,MATCH(C21,'Database Buyer'!$A$3:$A$202,0)),"ID tidak ditemukan"))</f>
        <v/>
      </c>
      <c r="E21" s="19">
        <f>IF(C21="","",IFERROR(INDEX('Database Buyer'!$C$3:$C$202,MATCH(C21,'Database Buyer'!$A$3:$A$202,0)),""))</f>
        <v/>
      </c>
      <c r="F21" s="16" t="n"/>
      <c r="G21" s="16" t="n"/>
      <c r="H21" s="16" t="n"/>
      <c r="I21" s="16" t="n"/>
      <c r="J21" s="20">
        <f>IF(I21="","",I21*Panduan!$C$25)</f>
        <v/>
      </c>
      <c r="K21" s="21" t="n"/>
      <c r="L21" s="22">
        <f>IF(OR(J21="",K21=""),"",J21*K21)</f>
        <v/>
      </c>
      <c r="M21" s="23">
        <f>IF(L21="","",L21*Panduan!$C$24)</f>
        <v/>
      </c>
      <c r="N21" s="18" t="n"/>
      <c r="O21" s="16" t="n"/>
      <c r="P21" s="16" t="n"/>
    </row>
    <row r="22">
      <c r="A22" s="16" t="n"/>
      <c r="B22" s="18" t="n"/>
      <c r="C22" s="16" t="n"/>
      <c r="D22" s="19">
        <f>IF(C22="","",IFERROR(INDEX('Database Buyer'!$B$3:$B$202,MATCH(C22,'Database Buyer'!$A$3:$A$202,0)),"ID tidak ditemukan"))</f>
        <v/>
      </c>
      <c r="E22" s="19">
        <f>IF(C22="","",IFERROR(INDEX('Database Buyer'!$C$3:$C$202,MATCH(C22,'Database Buyer'!$A$3:$A$202,0)),""))</f>
        <v/>
      </c>
      <c r="F22" s="16" t="n"/>
      <c r="G22" s="16" t="n"/>
      <c r="H22" s="16" t="n"/>
      <c r="I22" s="16" t="n"/>
      <c r="J22" s="20">
        <f>IF(I22="","",I22*Panduan!$C$25)</f>
        <v/>
      </c>
      <c r="K22" s="21" t="n"/>
      <c r="L22" s="22">
        <f>IF(OR(J22="",K22=""),"",J22*K22)</f>
        <v/>
      </c>
      <c r="M22" s="23">
        <f>IF(L22="","",L22*Panduan!$C$24)</f>
        <v/>
      </c>
      <c r="N22" s="18" t="n"/>
      <c r="O22" s="16" t="n"/>
      <c r="P22" s="16" t="n"/>
    </row>
    <row r="23">
      <c r="A23" s="16" t="n"/>
      <c r="B23" s="18" t="n"/>
      <c r="C23" s="16" t="n"/>
      <c r="D23" s="19">
        <f>IF(C23="","",IFERROR(INDEX('Database Buyer'!$B$3:$B$202,MATCH(C23,'Database Buyer'!$A$3:$A$202,0)),"ID tidak ditemukan"))</f>
        <v/>
      </c>
      <c r="E23" s="19">
        <f>IF(C23="","",IFERROR(INDEX('Database Buyer'!$C$3:$C$202,MATCH(C23,'Database Buyer'!$A$3:$A$202,0)),""))</f>
        <v/>
      </c>
      <c r="F23" s="16" t="n"/>
      <c r="G23" s="16" t="n"/>
      <c r="H23" s="16" t="n"/>
      <c r="I23" s="16" t="n"/>
      <c r="J23" s="20">
        <f>IF(I23="","",I23*Panduan!$C$25)</f>
        <v/>
      </c>
      <c r="K23" s="21" t="n"/>
      <c r="L23" s="22">
        <f>IF(OR(J23="",K23=""),"",J23*K23)</f>
        <v/>
      </c>
      <c r="M23" s="23">
        <f>IF(L23="","",L23*Panduan!$C$24)</f>
        <v/>
      </c>
      <c r="N23" s="18" t="n"/>
      <c r="O23" s="16" t="n"/>
      <c r="P23" s="16" t="n"/>
    </row>
    <row r="24">
      <c r="A24" s="16" t="n"/>
      <c r="B24" s="18" t="n"/>
      <c r="C24" s="16" t="n"/>
      <c r="D24" s="19">
        <f>IF(C24="","",IFERROR(INDEX('Database Buyer'!$B$3:$B$202,MATCH(C24,'Database Buyer'!$A$3:$A$202,0)),"ID tidak ditemukan"))</f>
        <v/>
      </c>
      <c r="E24" s="19">
        <f>IF(C24="","",IFERROR(INDEX('Database Buyer'!$C$3:$C$202,MATCH(C24,'Database Buyer'!$A$3:$A$202,0)),""))</f>
        <v/>
      </c>
      <c r="F24" s="16" t="n"/>
      <c r="G24" s="16" t="n"/>
      <c r="H24" s="16" t="n"/>
      <c r="I24" s="16" t="n"/>
      <c r="J24" s="20">
        <f>IF(I24="","",I24*Panduan!$C$25)</f>
        <v/>
      </c>
      <c r="K24" s="21" t="n"/>
      <c r="L24" s="22">
        <f>IF(OR(J24="",K24=""),"",J24*K24)</f>
        <v/>
      </c>
      <c r="M24" s="23">
        <f>IF(L24="","",L24*Panduan!$C$24)</f>
        <v/>
      </c>
      <c r="N24" s="18" t="n"/>
      <c r="O24" s="16" t="n"/>
      <c r="P24" s="16" t="n"/>
    </row>
    <row r="25">
      <c r="A25" s="16" t="n"/>
      <c r="B25" s="18" t="n"/>
      <c r="C25" s="16" t="n"/>
      <c r="D25" s="19">
        <f>IF(C25="","",IFERROR(INDEX('Database Buyer'!$B$3:$B$202,MATCH(C25,'Database Buyer'!$A$3:$A$202,0)),"ID tidak ditemukan"))</f>
        <v/>
      </c>
      <c r="E25" s="19">
        <f>IF(C25="","",IFERROR(INDEX('Database Buyer'!$C$3:$C$202,MATCH(C25,'Database Buyer'!$A$3:$A$202,0)),""))</f>
        <v/>
      </c>
      <c r="F25" s="16" t="n"/>
      <c r="G25" s="16" t="n"/>
      <c r="H25" s="16" t="n"/>
      <c r="I25" s="16" t="n"/>
      <c r="J25" s="20">
        <f>IF(I25="","",I25*Panduan!$C$25)</f>
        <v/>
      </c>
      <c r="K25" s="21" t="n"/>
      <c r="L25" s="22">
        <f>IF(OR(J25="",K25=""),"",J25*K25)</f>
        <v/>
      </c>
      <c r="M25" s="23">
        <f>IF(L25="","",L25*Panduan!$C$24)</f>
        <v/>
      </c>
      <c r="N25" s="18" t="n"/>
      <c r="O25" s="16" t="n"/>
      <c r="P25" s="16" t="n"/>
    </row>
    <row r="26">
      <c r="A26" s="16" t="n"/>
      <c r="B26" s="18" t="n"/>
      <c r="C26" s="16" t="n"/>
      <c r="D26" s="19">
        <f>IF(C26="","",IFERROR(INDEX('Database Buyer'!$B$3:$B$202,MATCH(C26,'Database Buyer'!$A$3:$A$202,0)),"ID tidak ditemukan"))</f>
        <v/>
      </c>
      <c r="E26" s="19">
        <f>IF(C26="","",IFERROR(INDEX('Database Buyer'!$C$3:$C$202,MATCH(C26,'Database Buyer'!$A$3:$A$202,0)),""))</f>
        <v/>
      </c>
      <c r="F26" s="16" t="n"/>
      <c r="G26" s="16" t="n"/>
      <c r="H26" s="16" t="n"/>
      <c r="I26" s="16" t="n"/>
      <c r="J26" s="20">
        <f>IF(I26="","",I26*Panduan!$C$25)</f>
        <v/>
      </c>
      <c r="K26" s="21" t="n"/>
      <c r="L26" s="22">
        <f>IF(OR(J26="",K26=""),"",J26*K26)</f>
        <v/>
      </c>
      <c r="M26" s="23">
        <f>IF(L26="","",L26*Panduan!$C$24)</f>
        <v/>
      </c>
      <c r="N26" s="18" t="n"/>
      <c r="O26" s="16" t="n"/>
      <c r="P26" s="16" t="n"/>
    </row>
    <row r="27">
      <c r="A27" s="16" t="n"/>
      <c r="B27" s="18" t="n"/>
      <c r="C27" s="16" t="n"/>
      <c r="D27" s="19">
        <f>IF(C27="","",IFERROR(INDEX('Database Buyer'!$B$3:$B$202,MATCH(C27,'Database Buyer'!$A$3:$A$202,0)),"ID tidak ditemukan"))</f>
        <v/>
      </c>
      <c r="E27" s="19">
        <f>IF(C27="","",IFERROR(INDEX('Database Buyer'!$C$3:$C$202,MATCH(C27,'Database Buyer'!$A$3:$A$202,0)),""))</f>
        <v/>
      </c>
      <c r="F27" s="16" t="n"/>
      <c r="G27" s="16" t="n"/>
      <c r="H27" s="16" t="n"/>
      <c r="I27" s="16" t="n"/>
      <c r="J27" s="20">
        <f>IF(I27="","",I27*Panduan!$C$25)</f>
        <v/>
      </c>
      <c r="K27" s="21" t="n"/>
      <c r="L27" s="22">
        <f>IF(OR(J27="",K27=""),"",J27*K27)</f>
        <v/>
      </c>
      <c r="M27" s="23">
        <f>IF(L27="","",L27*Panduan!$C$24)</f>
        <v/>
      </c>
      <c r="N27" s="18" t="n"/>
      <c r="O27" s="16" t="n"/>
      <c r="P27" s="16" t="n"/>
    </row>
    <row r="28">
      <c r="A28" s="16" t="n"/>
      <c r="B28" s="18" t="n"/>
      <c r="C28" s="16" t="n"/>
      <c r="D28" s="19">
        <f>IF(C28="","",IFERROR(INDEX('Database Buyer'!$B$3:$B$202,MATCH(C28,'Database Buyer'!$A$3:$A$202,0)),"ID tidak ditemukan"))</f>
        <v/>
      </c>
      <c r="E28" s="19">
        <f>IF(C28="","",IFERROR(INDEX('Database Buyer'!$C$3:$C$202,MATCH(C28,'Database Buyer'!$A$3:$A$202,0)),""))</f>
        <v/>
      </c>
      <c r="F28" s="16" t="n"/>
      <c r="G28" s="16" t="n"/>
      <c r="H28" s="16" t="n"/>
      <c r="I28" s="16" t="n"/>
      <c r="J28" s="20">
        <f>IF(I28="","",I28*Panduan!$C$25)</f>
        <v/>
      </c>
      <c r="K28" s="21" t="n"/>
      <c r="L28" s="22">
        <f>IF(OR(J28="",K28=""),"",J28*K28)</f>
        <v/>
      </c>
      <c r="M28" s="23">
        <f>IF(L28="","",L28*Panduan!$C$24)</f>
        <v/>
      </c>
      <c r="N28" s="18" t="n"/>
      <c r="O28" s="16" t="n"/>
      <c r="P28" s="16" t="n"/>
    </row>
    <row r="29">
      <c r="A29" s="16" t="n"/>
      <c r="B29" s="18" t="n"/>
      <c r="C29" s="16" t="n"/>
      <c r="D29" s="19">
        <f>IF(C29="","",IFERROR(INDEX('Database Buyer'!$B$3:$B$202,MATCH(C29,'Database Buyer'!$A$3:$A$202,0)),"ID tidak ditemukan"))</f>
        <v/>
      </c>
      <c r="E29" s="19">
        <f>IF(C29="","",IFERROR(INDEX('Database Buyer'!$C$3:$C$202,MATCH(C29,'Database Buyer'!$A$3:$A$202,0)),""))</f>
        <v/>
      </c>
      <c r="F29" s="16" t="n"/>
      <c r="G29" s="16" t="n"/>
      <c r="H29" s="16" t="n"/>
      <c r="I29" s="16" t="n"/>
      <c r="J29" s="20">
        <f>IF(I29="","",I29*Panduan!$C$25)</f>
        <v/>
      </c>
      <c r="K29" s="21" t="n"/>
      <c r="L29" s="22">
        <f>IF(OR(J29="",K29=""),"",J29*K29)</f>
        <v/>
      </c>
      <c r="M29" s="23">
        <f>IF(L29="","",L29*Panduan!$C$24)</f>
        <v/>
      </c>
      <c r="N29" s="18" t="n"/>
      <c r="O29" s="16" t="n"/>
      <c r="P29" s="16" t="n"/>
    </row>
    <row r="30">
      <c r="A30" s="16" t="n"/>
      <c r="B30" s="18" t="n"/>
      <c r="C30" s="16" t="n"/>
      <c r="D30" s="19">
        <f>IF(C30="","",IFERROR(INDEX('Database Buyer'!$B$3:$B$202,MATCH(C30,'Database Buyer'!$A$3:$A$202,0)),"ID tidak ditemukan"))</f>
        <v/>
      </c>
      <c r="E30" s="19">
        <f>IF(C30="","",IFERROR(INDEX('Database Buyer'!$C$3:$C$202,MATCH(C30,'Database Buyer'!$A$3:$A$202,0)),""))</f>
        <v/>
      </c>
      <c r="F30" s="16" t="n"/>
      <c r="G30" s="16" t="n"/>
      <c r="H30" s="16" t="n"/>
      <c r="I30" s="16" t="n"/>
      <c r="J30" s="20">
        <f>IF(I30="","",I30*Panduan!$C$25)</f>
        <v/>
      </c>
      <c r="K30" s="21" t="n"/>
      <c r="L30" s="22">
        <f>IF(OR(J30="",K30=""),"",J30*K30)</f>
        <v/>
      </c>
      <c r="M30" s="23">
        <f>IF(L30="","",L30*Panduan!$C$24)</f>
        <v/>
      </c>
      <c r="N30" s="18" t="n"/>
      <c r="O30" s="16" t="n"/>
      <c r="P30" s="16" t="n"/>
    </row>
    <row r="31">
      <c r="A31" s="16" t="n"/>
      <c r="B31" s="18" t="n"/>
      <c r="C31" s="16" t="n"/>
      <c r="D31" s="19">
        <f>IF(C31="","",IFERROR(INDEX('Database Buyer'!$B$3:$B$202,MATCH(C31,'Database Buyer'!$A$3:$A$202,0)),"ID tidak ditemukan"))</f>
        <v/>
      </c>
      <c r="E31" s="19">
        <f>IF(C31="","",IFERROR(INDEX('Database Buyer'!$C$3:$C$202,MATCH(C31,'Database Buyer'!$A$3:$A$202,0)),""))</f>
        <v/>
      </c>
      <c r="F31" s="16" t="n"/>
      <c r="G31" s="16" t="n"/>
      <c r="H31" s="16" t="n"/>
      <c r="I31" s="16" t="n"/>
      <c r="J31" s="20">
        <f>IF(I31="","",I31*Panduan!$C$25)</f>
        <v/>
      </c>
      <c r="K31" s="21" t="n"/>
      <c r="L31" s="22">
        <f>IF(OR(J31="",K31=""),"",J31*K31)</f>
        <v/>
      </c>
      <c r="M31" s="23">
        <f>IF(L31="","",L31*Panduan!$C$24)</f>
        <v/>
      </c>
      <c r="N31" s="18" t="n"/>
      <c r="O31" s="16" t="n"/>
      <c r="P31" s="16" t="n"/>
    </row>
    <row r="32">
      <c r="A32" s="16" t="n"/>
      <c r="B32" s="18" t="n"/>
      <c r="C32" s="16" t="n"/>
      <c r="D32" s="19">
        <f>IF(C32="","",IFERROR(INDEX('Database Buyer'!$B$3:$B$202,MATCH(C32,'Database Buyer'!$A$3:$A$202,0)),"ID tidak ditemukan"))</f>
        <v/>
      </c>
      <c r="E32" s="19">
        <f>IF(C32="","",IFERROR(INDEX('Database Buyer'!$C$3:$C$202,MATCH(C32,'Database Buyer'!$A$3:$A$202,0)),""))</f>
        <v/>
      </c>
      <c r="F32" s="16" t="n"/>
      <c r="G32" s="16" t="n"/>
      <c r="H32" s="16" t="n"/>
      <c r="I32" s="16" t="n"/>
      <c r="J32" s="20">
        <f>IF(I32="","",I32*Panduan!$C$25)</f>
        <v/>
      </c>
      <c r="K32" s="21" t="n"/>
      <c r="L32" s="22">
        <f>IF(OR(J32="",K32=""),"",J32*K32)</f>
        <v/>
      </c>
      <c r="M32" s="23">
        <f>IF(L32="","",L32*Panduan!$C$24)</f>
        <v/>
      </c>
      <c r="N32" s="18" t="n"/>
      <c r="O32" s="16" t="n"/>
      <c r="P32" s="16" t="n"/>
    </row>
    <row r="33">
      <c r="A33" s="16" t="n"/>
      <c r="B33" s="18" t="n"/>
      <c r="C33" s="16" t="n"/>
      <c r="D33" s="19">
        <f>IF(C33="","",IFERROR(INDEX('Database Buyer'!$B$3:$B$202,MATCH(C33,'Database Buyer'!$A$3:$A$202,0)),"ID tidak ditemukan"))</f>
        <v/>
      </c>
      <c r="E33" s="19">
        <f>IF(C33="","",IFERROR(INDEX('Database Buyer'!$C$3:$C$202,MATCH(C33,'Database Buyer'!$A$3:$A$202,0)),""))</f>
        <v/>
      </c>
      <c r="F33" s="16" t="n"/>
      <c r="G33" s="16" t="n"/>
      <c r="H33" s="16" t="n"/>
      <c r="I33" s="16" t="n"/>
      <c r="J33" s="20">
        <f>IF(I33="","",I33*Panduan!$C$25)</f>
        <v/>
      </c>
      <c r="K33" s="21" t="n"/>
      <c r="L33" s="22">
        <f>IF(OR(J33="",K33=""),"",J33*K33)</f>
        <v/>
      </c>
      <c r="M33" s="23">
        <f>IF(L33="","",L33*Panduan!$C$24)</f>
        <v/>
      </c>
      <c r="N33" s="18" t="n"/>
      <c r="O33" s="16" t="n"/>
      <c r="P33" s="16" t="n"/>
    </row>
    <row r="34">
      <c r="A34" s="16" t="n"/>
      <c r="B34" s="18" t="n"/>
      <c r="C34" s="16" t="n"/>
      <c r="D34" s="19">
        <f>IF(C34="","",IFERROR(INDEX('Database Buyer'!$B$3:$B$202,MATCH(C34,'Database Buyer'!$A$3:$A$202,0)),"ID tidak ditemukan"))</f>
        <v/>
      </c>
      <c r="E34" s="19">
        <f>IF(C34="","",IFERROR(INDEX('Database Buyer'!$C$3:$C$202,MATCH(C34,'Database Buyer'!$A$3:$A$202,0)),""))</f>
        <v/>
      </c>
      <c r="F34" s="16" t="n"/>
      <c r="G34" s="16" t="n"/>
      <c r="H34" s="16" t="n"/>
      <c r="I34" s="16" t="n"/>
      <c r="J34" s="20">
        <f>IF(I34="","",I34*Panduan!$C$25)</f>
        <v/>
      </c>
      <c r="K34" s="21" t="n"/>
      <c r="L34" s="22">
        <f>IF(OR(J34="",K34=""),"",J34*K34)</f>
        <v/>
      </c>
      <c r="M34" s="23">
        <f>IF(L34="","",L34*Panduan!$C$24)</f>
        <v/>
      </c>
      <c r="N34" s="18" t="n"/>
      <c r="O34" s="16" t="n"/>
      <c r="P34" s="16" t="n"/>
    </row>
    <row r="35">
      <c r="A35" s="16" t="n"/>
      <c r="B35" s="18" t="n"/>
      <c r="C35" s="16" t="n"/>
      <c r="D35" s="19">
        <f>IF(C35="","",IFERROR(INDEX('Database Buyer'!$B$3:$B$202,MATCH(C35,'Database Buyer'!$A$3:$A$202,0)),"ID tidak ditemukan"))</f>
        <v/>
      </c>
      <c r="E35" s="19">
        <f>IF(C35="","",IFERROR(INDEX('Database Buyer'!$C$3:$C$202,MATCH(C35,'Database Buyer'!$A$3:$A$202,0)),""))</f>
        <v/>
      </c>
      <c r="F35" s="16" t="n"/>
      <c r="G35" s="16" t="n"/>
      <c r="H35" s="16" t="n"/>
      <c r="I35" s="16" t="n"/>
      <c r="J35" s="20">
        <f>IF(I35="","",I35*Panduan!$C$25)</f>
        <v/>
      </c>
      <c r="K35" s="21" t="n"/>
      <c r="L35" s="22">
        <f>IF(OR(J35="",K35=""),"",J35*K35)</f>
        <v/>
      </c>
      <c r="M35" s="23">
        <f>IF(L35="","",L35*Panduan!$C$24)</f>
        <v/>
      </c>
      <c r="N35" s="18" t="n"/>
      <c r="O35" s="16" t="n"/>
      <c r="P35" s="16" t="n"/>
    </row>
    <row r="36">
      <c r="A36" s="16" t="n"/>
      <c r="B36" s="18" t="n"/>
      <c r="C36" s="16" t="n"/>
      <c r="D36" s="19">
        <f>IF(C36="","",IFERROR(INDEX('Database Buyer'!$B$3:$B$202,MATCH(C36,'Database Buyer'!$A$3:$A$202,0)),"ID tidak ditemukan"))</f>
        <v/>
      </c>
      <c r="E36" s="19">
        <f>IF(C36="","",IFERROR(INDEX('Database Buyer'!$C$3:$C$202,MATCH(C36,'Database Buyer'!$A$3:$A$202,0)),""))</f>
        <v/>
      </c>
      <c r="F36" s="16" t="n"/>
      <c r="G36" s="16" t="n"/>
      <c r="H36" s="16" t="n"/>
      <c r="I36" s="16" t="n"/>
      <c r="J36" s="20">
        <f>IF(I36="","",I36*Panduan!$C$25)</f>
        <v/>
      </c>
      <c r="K36" s="21" t="n"/>
      <c r="L36" s="22">
        <f>IF(OR(J36="",K36=""),"",J36*K36)</f>
        <v/>
      </c>
      <c r="M36" s="23">
        <f>IF(L36="","",L36*Panduan!$C$24)</f>
        <v/>
      </c>
      <c r="N36" s="18" t="n"/>
      <c r="O36" s="16" t="n"/>
      <c r="P36" s="16" t="n"/>
    </row>
    <row r="37">
      <c r="A37" s="16" t="n"/>
      <c r="B37" s="18" t="n"/>
      <c r="C37" s="16" t="n"/>
      <c r="D37" s="19">
        <f>IF(C37="","",IFERROR(INDEX('Database Buyer'!$B$3:$B$202,MATCH(C37,'Database Buyer'!$A$3:$A$202,0)),"ID tidak ditemukan"))</f>
        <v/>
      </c>
      <c r="E37" s="19">
        <f>IF(C37="","",IFERROR(INDEX('Database Buyer'!$C$3:$C$202,MATCH(C37,'Database Buyer'!$A$3:$A$202,0)),""))</f>
        <v/>
      </c>
      <c r="F37" s="16" t="n"/>
      <c r="G37" s="16" t="n"/>
      <c r="H37" s="16" t="n"/>
      <c r="I37" s="16" t="n"/>
      <c r="J37" s="20">
        <f>IF(I37="","",I37*Panduan!$C$25)</f>
        <v/>
      </c>
      <c r="K37" s="21" t="n"/>
      <c r="L37" s="22">
        <f>IF(OR(J37="",K37=""),"",J37*K37)</f>
        <v/>
      </c>
      <c r="M37" s="23">
        <f>IF(L37="","",L37*Panduan!$C$24)</f>
        <v/>
      </c>
      <c r="N37" s="18" t="n"/>
      <c r="O37" s="16" t="n"/>
      <c r="P37" s="16" t="n"/>
    </row>
    <row r="38">
      <c r="A38" s="16" t="n"/>
      <c r="B38" s="18" t="n"/>
      <c r="C38" s="16" t="n"/>
      <c r="D38" s="19">
        <f>IF(C38="","",IFERROR(INDEX('Database Buyer'!$B$3:$B$202,MATCH(C38,'Database Buyer'!$A$3:$A$202,0)),"ID tidak ditemukan"))</f>
        <v/>
      </c>
      <c r="E38" s="19">
        <f>IF(C38="","",IFERROR(INDEX('Database Buyer'!$C$3:$C$202,MATCH(C38,'Database Buyer'!$A$3:$A$202,0)),""))</f>
        <v/>
      </c>
      <c r="F38" s="16" t="n"/>
      <c r="G38" s="16" t="n"/>
      <c r="H38" s="16" t="n"/>
      <c r="I38" s="16" t="n"/>
      <c r="J38" s="20">
        <f>IF(I38="","",I38*Panduan!$C$25)</f>
        <v/>
      </c>
      <c r="K38" s="21" t="n"/>
      <c r="L38" s="22">
        <f>IF(OR(J38="",K38=""),"",J38*K38)</f>
        <v/>
      </c>
      <c r="M38" s="23">
        <f>IF(L38="","",L38*Panduan!$C$24)</f>
        <v/>
      </c>
      <c r="N38" s="18" t="n"/>
      <c r="O38" s="16" t="n"/>
      <c r="P38" s="16" t="n"/>
    </row>
    <row r="39">
      <c r="A39" s="16" t="n"/>
      <c r="B39" s="18" t="n"/>
      <c r="C39" s="16" t="n"/>
      <c r="D39" s="19">
        <f>IF(C39="","",IFERROR(INDEX('Database Buyer'!$B$3:$B$202,MATCH(C39,'Database Buyer'!$A$3:$A$202,0)),"ID tidak ditemukan"))</f>
        <v/>
      </c>
      <c r="E39" s="19">
        <f>IF(C39="","",IFERROR(INDEX('Database Buyer'!$C$3:$C$202,MATCH(C39,'Database Buyer'!$A$3:$A$202,0)),""))</f>
        <v/>
      </c>
      <c r="F39" s="16" t="n"/>
      <c r="G39" s="16" t="n"/>
      <c r="H39" s="16" t="n"/>
      <c r="I39" s="16" t="n"/>
      <c r="J39" s="20">
        <f>IF(I39="","",I39*Panduan!$C$25)</f>
        <v/>
      </c>
      <c r="K39" s="21" t="n"/>
      <c r="L39" s="22">
        <f>IF(OR(J39="",K39=""),"",J39*K39)</f>
        <v/>
      </c>
      <c r="M39" s="23">
        <f>IF(L39="","",L39*Panduan!$C$24)</f>
        <v/>
      </c>
      <c r="N39" s="18" t="n"/>
      <c r="O39" s="16" t="n"/>
      <c r="P39" s="16" t="n"/>
    </row>
    <row r="40">
      <c r="A40" s="16" t="n"/>
      <c r="B40" s="18" t="n"/>
      <c r="C40" s="16" t="n"/>
      <c r="D40" s="19">
        <f>IF(C40="","",IFERROR(INDEX('Database Buyer'!$B$3:$B$202,MATCH(C40,'Database Buyer'!$A$3:$A$202,0)),"ID tidak ditemukan"))</f>
        <v/>
      </c>
      <c r="E40" s="19">
        <f>IF(C40="","",IFERROR(INDEX('Database Buyer'!$C$3:$C$202,MATCH(C40,'Database Buyer'!$A$3:$A$202,0)),""))</f>
        <v/>
      </c>
      <c r="F40" s="16" t="n"/>
      <c r="G40" s="16" t="n"/>
      <c r="H40" s="16" t="n"/>
      <c r="I40" s="16" t="n"/>
      <c r="J40" s="20">
        <f>IF(I40="","",I40*Panduan!$C$25)</f>
        <v/>
      </c>
      <c r="K40" s="21" t="n"/>
      <c r="L40" s="22">
        <f>IF(OR(J40="",K40=""),"",J40*K40)</f>
        <v/>
      </c>
      <c r="M40" s="23">
        <f>IF(L40="","",L40*Panduan!$C$24)</f>
        <v/>
      </c>
      <c r="N40" s="18" t="n"/>
      <c r="O40" s="16" t="n"/>
      <c r="P40" s="16" t="n"/>
    </row>
    <row r="41">
      <c r="A41" s="16" t="n"/>
      <c r="B41" s="18" t="n"/>
      <c r="C41" s="16" t="n"/>
      <c r="D41" s="19">
        <f>IF(C41="","",IFERROR(INDEX('Database Buyer'!$B$3:$B$202,MATCH(C41,'Database Buyer'!$A$3:$A$202,0)),"ID tidak ditemukan"))</f>
        <v/>
      </c>
      <c r="E41" s="19">
        <f>IF(C41="","",IFERROR(INDEX('Database Buyer'!$C$3:$C$202,MATCH(C41,'Database Buyer'!$A$3:$A$202,0)),""))</f>
        <v/>
      </c>
      <c r="F41" s="16" t="n"/>
      <c r="G41" s="16" t="n"/>
      <c r="H41" s="16" t="n"/>
      <c r="I41" s="16" t="n"/>
      <c r="J41" s="20">
        <f>IF(I41="","",I41*Panduan!$C$25)</f>
        <v/>
      </c>
      <c r="K41" s="21" t="n"/>
      <c r="L41" s="22">
        <f>IF(OR(J41="",K41=""),"",J41*K41)</f>
        <v/>
      </c>
      <c r="M41" s="23">
        <f>IF(L41="","",L41*Panduan!$C$24)</f>
        <v/>
      </c>
      <c r="N41" s="18" t="n"/>
      <c r="O41" s="16" t="n"/>
      <c r="P41" s="16" t="n"/>
    </row>
    <row r="42">
      <c r="A42" s="16" t="n"/>
      <c r="B42" s="18" t="n"/>
      <c r="C42" s="16" t="n"/>
      <c r="D42" s="19">
        <f>IF(C42="","",IFERROR(INDEX('Database Buyer'!$B$3:$B$202,MATCH(C42,'Database Buyer'!$A$3:$A$202,0)),"ID tidak ditemukan"))</f>
        <v/>
      </c>
      <c r="E42" s="19">
        <f>IF(C42="","",IFERROR(INDEX('Database Buyer'!$C$3:$C$202,MATCH(C42,'Database Buyer'!$A$3:$A$202,0)),""))</f>
        <v/>
      </c>
      <c r="F42" s="16" t="n"/>
      <c r="G42" s="16" t="n"/>
      <c r="H42" s="16" t="n"/>
      <c r="I42" s="16" t="n"/>
      <c r="J42" s="20">
        <f>IF(I42="","",I42*Panduan!$C$25)</f>
        <v/>
      </c>
      <c r="K42" s="21" t="n"/>
      <c r="L42" s="22">
        <f>IF(OR(J42="",K42=""),"",J42*K42)</f>
        <v/>
      </c>
      <c r="M42" s="23">
        <f>IF(L42="","",L42*Panduan!$C$24)</f>
        <v/>
      </c>
      <c r="N42" s="18" t="n"/>
      <c r="O42" s="16" t="n"/>
      <c r="P42" s="16" t="n"/>
    </row>
    <row r="43">
      <c r="A43" s="16" t="n"/>
      <c r="B43" s="18" t="n"/>
      <c r="C43" s="16" t="n"/>
      <c r="D43" s="19">
        <f>IF(C43="","",IFERROR(INDEX('Database Buyer'!$B$3:$B$202,MATCH(C43,'Database Buyer'!$A$3:$A$202,0)),"ID tidak ditemukan"))</f>
        <v/>
      </c>
      <c r="E43" s="19">
        <f>IF(C43="","",IFERROR(INDEX('Database Buyer'!$C$3:$C$202,MATCH(C43,'Database Buyer'!$A$3:$A$202,0)),""))</f>
        <v/>
      </c>
      <c r="F43" s="16" t="n"/>
      <c r="G43" s="16" t="n"/>
      <c r="H43" s="16" t="n"/>
      <c r="I43" s="16" t="n"/>
      <c r="J43" s="20">
        <f>IF(I43="","",I43*Panduan!$C$25)</f>
        <v/>
      </c>
      <c r="K43" s="21" t="n"/>
      <c r="L43" s="22">
        <f>IF(OR(J43="",K43=""),"",J43*K43)</f>
        <v/>
      </c>
      <c r="M43" s="23">
        <f>IF(L43="","",L43*Panduan!$C$24)</f>
        <v/>
      </c>
      <c r="N43" s="18" t="n"/>
      <c r="O43" s="16" t="n"/>
      <c r="P43" s="16" t="n"/>
    </row>
    <row r="44">
      <c r="A44" s="16" t="n"/>
      <c r="B44" s="18" t="n"/>
      <c r="C44" s="16" t="n"/>
      <c r="D44" s="19">
        <f>IF(C44="","",IFERROR(INDEX('Database Buyer'!$B$3:$B$202,MATCH(C44,'Database Buyer'!$A$3:$A$202,0)),"ID tidak ditemukan"))</f>
        <v/>
      </c>
      <c r="E44" s="19">
        <f>IF(C44="","",IFERROR(INDEX('Database Buyer'!$C$3:$C$202,MATCH(C44,'Database Buyer'!$A$3:$A$202,0)),""))</f>
        <v/>
      </c>
      <c r="F44" s="16" t="n"/>
      <c r="G44" s="16" t="n"/>
      <c r="H44" s="16" t="n"/>
      <c r="I44" s="16" t="n"/>
      <c r="J44" s="20">
        <f>IF(I44="","",I44*Panduan!$C$25)</f>
        <v/>
      </c>
      <c r="K44" s="21" t="n"/>
      <c r="L44" s="22">
        <f>IF(OR(J44="",K44=""),"",J44*K44)</f>
        <v/>
      </c>
      <c r="M44" s="23">
        <f>IF(L44="","",L44*Panduan!$C$24)</f>
        <v/>
      </c>
      <c r="N44" s="18" t="n"/>
      <c r="O44" s="16" t="n"/>
      <c r="P44" s="16" t="n"/>
    </row>
    <row r="45">
      <c r="A45" s="16" t="n"/>
      <c r="B45" s="18" t="n"/>
      <c r="C45" s="16" t="n"/>
      <c r="D45" s="19">
        <f>IF(C45="","",IFERROR(INDEX('Database Buyer'!$B$3:$B$202,MATCH(C45,'Database Buyer'!$A$3:$A$202,0)),"ID tidak ditemukan"))</f>
        <v/>
      </c>
      <c r="E45" s="19">
        <f>IF(C45="","",IFERROR(INDEX('Database Buyer'!$C$3:$C$202,MATCH(C45,'Database Buyer'!$A$3:$A$202,0)),""))</f>
        <v/>
      </c>
      <c r="F45" s="16" t="n"/>
      <c r="G45" s="16" t="n"/>
      <c r="H45" s="16" t="n"/>
      <c r="I45" s="16" t="n"/>
      <c r="J45" s="20">
        <f>IF(I45="","",I45*Panduan!$C$25)</f>
        <v/>
      </c>
      <c r="K45" s="21" t="n"/>
      <c r="L45" s="22">
        <f>IF(OR(J45="",K45=""),"",J45*K45)</f>
        <v/>
      </c>
      <c r="M45" s="23">
        <f>IF(L45="","",L45*Panduan!$C$24)</f>
        <v/>
      </c>
      <c r="N45" s="18" t="n"/>
      <c r="O45" s="16" t="n"/>
      <c r="P45" s="16" t="n"/>
    </row>
    <row r="46">
      <c r="A46" s="16" t="n"/>
      <c r="B46" s="18" t="n"/>
      <c r="C46" s="16" t="n"/>
      <c r="D46" s="19">
        <f>IF(C46="","",IFERROR(INDEX('Database Buyer'!$B$3:$B$202,MATCH(C46,'Database Buyer'!$A$3:$A$202,0)),"ID tidak ditemukan"))</f>
        <v/>
      </c>
      <c r="E46" s="19">
        <f>IF(C46="","",IFERROR(INDEX('Database Buyer'!$C$3:$C$202,MATCH(C46,'Database Buyer'!$A$3:$A$202,0)),""))</f>
        <v/>
      </c>
      <c r="F46" s="16" t="n"/>
      <c r="G46" s="16" t="n"/>
      <c r="H46" s="16" t="n"/>
      <c r="I46" s="16" t="n"/>
      <c r="J46" s="20">
        <f>IF(I46="","",I46*Panduan!$C$25)</f>
        <v/>
      </c>
      <c r="K46" s="21" t="n"/>
      <c r="L46" s="22">
        <f>IF(OR(J46="",K46=""),"",J46*K46)</f>
        <v/>
      </c>
      <c r="M46" s="23">
        <f>IF(L46="","",L46*Panduan!$C$24)</f>
        <v/>
      </c>
      <c r="N46" s="18" t="n"/>
      <c r="O46" s="16" t="n"/>
      <c r="P46" s="16" t="n"/>
    </row>
    <row r="47">
      <c r="A47" s="16" t="n"/>
      <c r="B47" s="18" t="n"/>
      <c r="C47" s="16" t="n"/>
      <c r="D47" s="19">
        <f>IF(C47="","",IFERROR(INDEX('Database Buyer'!$B$3:$B$202,MATCH(C47,'Database Buyer'!$A$3:$A$202,0)),"ID tidak ditemukan"))</f>
        <v/>
      </c>
      <c r="E47" s="19">
        <f>IF(C47="","",IFERROR(INDEX('Database Buyer'!$C$3:$C$202,MATCH(C47,'Database Buyer'!$A$3:$A$202,0)),""))</f>
        <v/>
      </c>
      <c r="F47" s="16" t="n"/>
      <c r="G47" s="16" t="n"/>
      <c r="H47" s="16" t="n"/>
      <c r="I47" s="16" t="n"/>
      <c r="J47" s="20">
        <f>IF(I47="","",I47*Panduan!$C$25)</f>
        <v/>
      </c>
      <c r="K47" s="21" t="n"/>
      <c r="L47" s="22">
        <f>IF(OR(J47="",K47=""),"",J47*K47)</f>
        <v/>
      </c>
      <c r="M47" s="23">
        <f>IF(L47="","",L47*Panduan!$C$24)</f>
        <v/>
      </c>
      <c r="N47" s="18" t="n"/>
      <c r="O47" s="16" t="n"/>
      <c r="P47" s="16" t="n"/>
    </row>
    <row r="48">
      <c r="A48" s="16" t="n"/>
      <c r="B48" s="18" t="n"/>
      <c r="C48" s="16" t="n"/>
      <c r="D48" s="19">
        <f>IF(C48="","",IFERROR(INDEX('Database Buyer'!$B$3:$B$202,MATCH(C48,'Database Buyer'!$A$3:$A$202,0)),"ID tidak ditemukan"))</f>
        <v/>
      </c>
      <c r="E48" s="19">
        <f>IF(C48="","",IFERROR(INDEX('Database Buyer'!$C$3:$C$202,MATCH(C48,'Database Buyer'!$A$3:$A$202,0)),""))</f>
        <v/>
      </c>
      <c r="F48" s="16" t="n"/>
      <c r="G48" s="16" t="n"/>
      <c r="H48" s="16" t="n"/>
      <c r="I48" s="16" t="n"/>
      <c r="J48" s="20">
        <f>IF(I48="","",I48*Panduan!$C$25)</f>
        <v/>
      </c>
      <c r="K48" s="21" t="n"/>
      <c r="L48" s="22">
        <f>IF(OR(J48="",K48=""),"",J48*K48)</f>
        <v/>
      </c>
      <c r="M48" s="23">
        <f>IF(L48="","",L48*Panduan!$C$24)</f>
        <v/>
      </c>
      <c r="N48" s="18" t="n"/>
      <c r="O48" s="16" t="n"/>
      <c r="P48" s="16" t="n"/>
    </row>
    <row r="49">
      <c r="A49" s="16" t="n"/>
      <c r="B49" s="18" t="n"/>
      <c r="C49" s="16" t="n"/>
      <c r="D49" s="19">
        <f>IF(C49="","",IFERROR(INDEX('Database Buyer'!$B$3:$B$202,MATCH(C49,'Database Buyer'!$A$3:$A$202,0)),"ID tidak ditemukan"))</f>
        <v/>
      </c>
      <c r="E49" s="19">
        <f>IF(C49="","",IFERROR(INDEX('Database Buyer'!$C$3:$C$202,MATCH(C49,'Database Buyer'!$A$3:$A$202,0)),""))</f>
        <v/>
      </c>
      <c r="F49" s="16" t="n"/>
      <c r="G49" s="16" t="n"/>
      <c r="H49" s="16" t="n"/>
      <c r="I49" s="16" t="n"/>
      <c r="J49" s="20">
        <f>IF(I49="","",I49*Panduan!$C$25)</f>
        <v/>
      </c>
      <c r="K49" s="21" t="n"/>
      <c r="L49" s="22">
        <f>IF(OR(J49="",K49=""),"",J49*K49)</f>
        <v/>
      </c>
      <c r="M49" s="23">
        <f>IF(L49="","",L49*Panduan!$C$24)</f>
        <v/>
      </c>
      <c r="N49" s="18" t="n"/>
      <c r="O49" s="16" t="n"/>
      <c r="P49" s="16" t="n"/>
    </row>
    <row r="50">
      <c r="A50" s="16" t="n"/>
      <c r="B50" s="18" t="n"/>
      <c r="C50" s="16" t="n"/>
      <c r="D50" s="19">
        <f>IF(C50="","",IFERROR(INDEX('Database Buyer'!$B$3:$B$202,MATCH(C50,'Database Buyer'!$A$3:$A$202,0)),"ID tidak ditemukan"))</f>
        <v/>
      </c>
      <c r="E50" s="19">
        <f>IF(C50="","",IFERROR(INDEX('Database Buyer'!$C$3:$C$202,MATCH(C50,'Database Buyer'!$A$3:$A$202,0)),""))</f>
        <v/>
      </c>
      <c r="F50" s="16" t="n"/>
      <c r="G50" s="16" t="n"/>
      <c r="H50" s="16" t="n"/>
      <c r="I50" s="16" t="n"/>
      <c r="J50" s="20">
        <f>IF(I50="","",I50*Panduan!$C$25)</f>
        <v/>
      </c>
      <c r="K50" s="21" t="n"/>
      <c r="L50" s="22">
        <f>IF(OR(J50="",K50=""),"",J50*K50)</f>
        <v/>
      </c>
      <c r="M50" s="23">
        <f>IF(L50="","",L50*Panduan!$C$24)</f>
        <v/>
      </c>
      <c r="N50" s="18" t="n"/>
      <c r="O50" s="16" t="n"/>
      <c r="P50" s="16" t="n"/>
    </row>
    <row r="51">
      <c r="A51" s="16" t="n"/>
      <c r="B51" s="18" t="n"/>
      <c r="C51" s="16" t="n"/>
      <c r="D51" s="19">
        <f>IF(C51="","",IFERROR(INDEX('Database Buyer'!$B$3:$B$202,MATCH(C51,'Database Buyer'!$A$3:$A$202,0)),"ID tidak ditemukan"))</f>
        <v/>
      </c>
      <c r="E51" s="19">
        <f>IF(C51="","",IFERROR(INDEX('Database Buyer'!$C$3:$C$202,MATCH(C51,'Database Buyer'!$A$3:$A$202,0)),""))</f>
        <v/>
      </c>
      <c r="F51" s="16" t="n"/>
      <c r="G51" s="16" t="n"/>
      <c r="H51" s="16" t="n"/>
      <c r="I51" s="16" t="n"/>
      <c r="J51" s="20">
        <f>IF(I51="","",I51*Panduan!$C$25)</f>
        <v/>
      </c>
      <c r="K51" s="21" t="n"/>
      <c r="L51" s="22">
        <f>IF(OR(J51="",K51=""),"",J51*K51)</f>
        <v/>
      </c>
      <c r="M51" s="23">
        <f>IF(L51="","",L51*Panduan!$C$24)</f>
        <v/>
      </c>
      <c r="N51" s="18" t="n"/>
      <c r="O51" s="16" t="n"/>
      <c r="P51" s="16" t="n"/>
    </row>
    <row r="52">
      <c r="A52" s="16" t="n"/>
      <c r="B52" s="18" t="n"/>
      <c r="C52" s="16" t="n"/>
      <c r="D52" s="19">
        <f>IF(C52="","",IFERROR(INDEX('Database Buyer'!$B$3:$B$202,MATCH(C52,'Database Buyer'!$A$3:$A$202,0)),"ID tidak ditemukan"))</f>
        <v/>
      </c>
      <c r="E52" s="19">
        <f>IF(C52="","",IFERROR(INDEX('Database Buyer'!$C$3:$C$202,MATCH(C52,'Database Buyer'!$A$3:$A$202,0)),""))</f>
        <v/>
      </c>
      <c r="F52" s="16" t="n"/>
      <c r="G52" s="16" t="n"/>
      <c r="H52" s="16" t="n"/>
      <c r="I52" s="16" t="n"/>
      <c r="J52" s="20">
        <f>IF(I52="","",I52*Panduan!$C$25)</f>
        <v/>
      </c>
      <c r="K52" s="21" t="n"/>
      <c r="L52" s="22">
        <f>IF(OR(J52="",K52=""),"",J52*K52)</f>
        <v/>
      </c>
      <c r="M52" s="23">
        <f>IF(L52="","",L52*Panduan!$C$24)</f>
        <v/>
      </c>
      <c r="N52" s="18" t="n"/>
      <c r="O52" s="16" t="n"/>
      <c r="P52" s="16" t="n"/>
    </row>
    <row r="53">
      <c r="A53" s="16" t="n"/>
      <c r="B53" s="18" t="n"/>
      <c r="C53" s="16" t="n"/>
      <c r="D53" s="19">
        <f>IF(C53="","",IFERROR(INDEX('Database Buyer'!$B$3:$B$202,MATCH(C53,'Database Buyer'!$A$3:$A$202,0)),"ID tidak ditemukan"))</f>
        <v/>
      </c>
      <c r="E53" s="19">
        <f>IF(C53="","",IFERROR(INDEX('Database Buyer'!$C$3:$C$202,MATCH(C53,'Database Buyer'!$A$3:$A$202,0)),""))</f>
        <v/>
      </c>
      <c r="F53" s="16" t="n"/>
      <c r="G53" s="16" t="n"/>
      <c r="H53" s="16" t="n"/>
      <c r="I53" s="16" t="n"/>
      <c r="J53" s="20">
        <f>IF(I53="","",I53*Panduan!$C$25)</f>
        <v/>
      </c>
      <c r="K53" s="21" t="n"/>
      <c r="L53" s="22">
        <f>IF(OR(J53="",K53=""),"",J53*K53)</f>
        <v/>
      </c>
      <c r="M53" s="23">
        <f>IF(L53="","",L53*Panduan!$C$24)</f>
        <v/>
      </c>
      <c r="N53" s="18" t="n"/>
      <c r="O53" s="16" t="n"/>
      <c r="P53" s="16" t="n"/>
    </row>
    <row r="54">
      <c r="A54" s="16" t="n"/>
      <c r="B54" s="18" t="n"/>
      <c r="C54" s="16" t="n"/>
      <c r="D54" s="19">
        <f>IF(C54="","",IFERROR(INDEX('Database Buyer'!$B$3:$B$202,MATCH(C54,'Database Buyer'!$A$3:$A$202,0)),"ID tidak ditemukan"))</f>
        <v/>
      </c>
      <c r="E54" s="19">
        <f>IF(C54="","",IFERROR(INDEX('Database Buyer'!$C$3:$C$202,MATCH(C54,'Database Buyer'!$A$3:$A$202,0)),""))</f>
        <v/>
      </c>
      <c r="F54" s="16" t="n"/>
      <c r="G54" s="16" t="n"/>
      <c r="H54" s="16" t="n"/>
      <c r="I54" s="16" t="n"/>
      <c r="J54" s="20">
        <f>IF(I54="","",I54*Panduan!$C$25)</f>
        <v/>
      </c>
      <c r="K54" s="21" t="n"/>
      <c r="L54" s="22">
        <f>IF(OR(J54="",K54=""),"",J54*K54)</f>
        <v/>
      </c>
      <c r="M54" s="23">
        <f>IF(L54="","",L54*Panduan!$C$24)</f>
        <v/>
      </c>
      <c r="N54" s="18" t="n"/>
      <c r="O54" s="16" t="n"/>
      <c r="P54" s="16" t="n"/>
    </row>
    <row r="55">
      <c r="A55" s="16" t="n"/>
      <c r="B55" s="18" t="n"/>
      <c r="C55" s="16" t="n"/>
      <c r="D55" s="19">
        <f>IF(C55="","",IFERROR(INDEX('Database Buyer'!$B$3:$B$202,MATCH(C55,'Database Buyer'!$A$3:$A$202,0)),"ID tidak ditemukan"))</f>
        <v/>
      </c>
      <c r="E55" s="19">
        <f>IF(C55="","",IFERROR(INDEX('Database Buyer'!$C$3:$C$202,MATCH(C55,'Database Buyer'!$A$3:$A$202,0)),""))</f>
        <v/>
      </c>
      <c r="F55" s="16" t="n"/>
      <c r="G55" s="16" t="n"/>
      <c r="H55" s="16" t="n"/>
      <c r="I55" s="16" t="n"/>
      <c r="J55" s="20">
        <f>IF(I55="","",I55*Panduan!$C$25)</f>
        <v/>
      </c>
      <c r="K55" s="21" t="n"/>
      <c r="L55" s="22">
        <f>IF(OR(J55="",K55=""),"",J55*K55)</f>
        <v/>
      </c>
      <c r="M55" s="23">
        <f>IF(L55="","",L55*Panduan!$C$24)</f>
        <v/>
      </c>
      <c r="N55" s="18" t="n"/>
      <c r="O55" s="16" t="n"/>
      <c r="P55" s="16" t="n"/>
    </row>
    <row r="56">
      <c r="A56" s="16" t="n"/>
      <c r="B56" s="18" t="n"/>
      <c r="C56" s="16" t="n"/>
      <c r="D56" s="19">
        <f>IF(C56="","",IFERROR(INDEX('Database Buyer'!$B$3:$B$202,MATCH(C56,'Database Buyer'!$A$3:$A$202,0)),"ID tidak ditemukan"))</f>
        <v/>
      </c>
      <c r="E56" s="19">
        <f>IF(C56="","",IFERROR(INDEX('Database Buyer'!$C$3:$C$202,MATCH(C56,'Database Buyer'!$A$3:$A$202,0)),""))</f>
        <v/>
      </c>
      <c r="F56" s="16" t="n"/>
      <c r="G56" s="16" t="n"/>
      <c r="H56" s="16" t="n"/>
      <c r="I56" s="16" t="n"/>
      <c r="J56" s="20">
        <f>IF(I56="","",I56*Panduan!$C$25)</f>
        <v/>
      </c>
      <c r="K56" s="21" t="n"/>
      <c r="L56" s="22">
        <f>IF(OR(J56="",K56=""),"",J56*K56)</f>
        <v/>
      </c>
      <c r="M56" s="23">
        <f>IF(L56="","",L56*Panduan!$C$24)</f>
        <v/>
      </c>
      <c r="N56" s="18" t="n"/>
      <c r="O56" s="16" t="n"/>
      <c r="P56" s="16" t="n"/>
    </row>
    <row r="57">
      <c r="A57" s="16" t="n"/>
      <c r="B57" s="18" t="n"/>
      <c r="C57" s="16" t="n"/>
      <c r="D57" s="19">
        <f>IF(C57="","",IFERROR(INDEX('Database Buyer'!$B$3:$B$202,MATCH(C57,'Database Buyer'!$A$3:$A$202,0)),"ID tidak ditemukan"))</f>
        <v/>
      </c>
      <c r="E57" s="19">
        <f>IF(C57="","",IFERROR(INDEX('Database Buyer'!$C$3:$C$202,MATCH(C57,'Database Buyer'!$A$3:$A$202,0)),""))</f>
        <v/>
      </c>
      <c r="F57" s="16" t="n"/>
      <c r="G57" s="16" t="n"/>
      <c r="H57" s="16" t="n"/>
      <c r="I57" s="16" t="n"/>
      <c r="J57" s="20">
        <f>IF(I57="","",I57*Panduan!$C$25)</f>
        <v/>
      </c>
      <c r="K57" s="21" t="n"/>
      <c r="L57" s="22">
        <f>IF(OR(J57="",K57=""),"",J57*K57)</f>
        <v/>
      </c>
      <c r="M57" s="23">
        <f>IF(L57="","",L57*Panduan!$C$24)</f>
        <v/>
      </c>
      <c r="N57" s="18" t="n"/>
      <c r="O57" s="16" t="n"/>
      <c r="P57" s="16" t="n"/>
    </row>
    <row r="58">
      <c r="A58" s="16" t="n"/>
      <c r="B58" s="18" t="n"/>
      <c r="C58" s="16" t="n"/>
      <c r="D58" s="19">
        <f>IF(C58="","",IFERROR(INDEX('Database Buyer'!$B$3:$B$202,MATCH(C58,'Database Buyer'!$A$3:$A$202,0)),"ID tidak ditemukan"))</f>
        <v/>
      </c>
      <c r="E58" s="19">
        <f>IF(C58="","",IFERROR(INDEX('Database Buyer'!$C$3:$C$202,MATCH(C58,'Database Buyer'!$A$3:$A$202,0)),""))</f>
        <v/>
      </c>
      <c r="F58" s="16" t="n"/>
      <c r="G58" s="16" t="n"/>
      <c r="H58" s="16" t="n"/>
      <c r="I58" s="16" t="n"/>
      <c r="J58" s="20">
        <f>IF(I58="","",I58*Panduan!$C$25)</f>
        <v/>
      </c>
      <c r="K58" s="21" t="n"/>
      <c r="L58" s="22">
        <f>IF(OR(J58="",K58=""),"",J58*K58)</f>
        <v/>
      </c>
      <c r="M58" s="23">
        <f>IF(L58="","",L58*Panduan!$C$24)</f>
        <v/>
      </c>
      <c r="N58" s="18" t="n"/>
      <c r="O58" s="16" t="n"/>
      <c r="P58" s="16" t="n"/>
    </row>
    <row r="59">
      <c r="A59" s="16" t="n"/>
      <c r="B59" s="18" t="n"/>
      <c r="C59" s="16" t="n"/>
      <c r="D59" s="19">
        <f>IF(C59="","",IFERROR(INDEX('Database Buyer'!$B$3:$B$202,MATCH(C59,'Database Buyer'!$A$3:$A$202,0)),"ID tidak ditemukan"))</f>
        <v/>
      </c>
      <c r="E59" s="19">
        <f>IF(C59="","",IFERROR(INDEX('Database Buyer'!$C$3:$C$202,MATCH(C59,'Database Buyer'!$A$3:$A$202,0)),""))</f>
        <v/>
      </c>
      <c r="F59" s="16" t="n"/>
      <c r="G59" s="16" t="n"/>
      <c r="H59" s="16" t="n"/>
      <c r="I59" s="16" t="n"/>
      <c r="J59" s="20">
        <f>IF(I59="","",I59*Panduan!$C$25)</f>
        <v/>
      </c>
      <c r="K59" s="21" t="n"/>
      <c r="L59" s="22">
        <f>IF(OR(J59="",K59=""),"",J59*K59)</f>
        <v/>
      </c>
      <c r="M59" s="23">
        <f>IF(L59="","",L59*Panduan!$C$24)</f>
        <v/>
      </c>
      <c r="N59" s="18" t="n"/>
      <c r="O59" s="16" t="n"/>
      <c r="P59" s="16" t="n"/>
    </row>
    <row r="60">
      <c r="A60" s="16" t="n"/>
      <c r="B60" s="18" t="n"/>
      <c r="C60" s="16" t="n"/>
      <c r="D60" s="19">
        <f>IF(C60="","",IFERROR(INDEX('Database Buyer'!$B$3:$B$202,MATCH(C60,'Database Buyer'!$A$3:$A$202,0)),"ID tidak ditemukan"))</f>
        <v/>
      </c>
      <c r="E60" s="19">
        <f>IF(C60="","",IFERROR(INDEX('Database Buyer'!$C$3:$C$202,MATCH(C60,'Database Buyer'!$A$3:$A$202,0)),""))</f>
        <v/>
      </c>
      <c r="F60" s="16" t="n"/>
      <c r="G60" s="16" t="n"/>
      <c r="H60" s="16" t="n"/>
      <c r="I60" s="16" t="n"/>
      <c r="J60" s="20">
        <f>IF(I60="","",I60*Panduan!$C$25)</f>
        <v/>
      </c>
      <c r="K60" s="21" t="n"/>
      <c r="L60" s="22">
        <f>IF(OR(J60="",K60=""),"",J60*K60)</f>
        <v/>
      </c>
      <c r="M60" s="23">
        <f>IF(L60="","",L60*Panduan!$C$24)</f>
        <v/>
      </c>
      <c r="N60" s="18" t="n"/>
      <c r="O60" s="16" t="n"/>
      <c r="P60" s="16" t="n"/>
    </row>
    <row r="61">
      <c r="A61" s="16" t="n"/>
      <c r="B61" s="18" t="n"/>
      <c r="C61" s="16" t="n"/>
      <c r="D61" s="19">
        <f>IF(C61="","",IFERROR(INDEX('Database Buyer'!$B$3:$B$202,MATCH(C61,'Database Buyer'!$A$3:$A$202,0)),"ID tidak ditemukan"))</f>
        <v/>
      </c>
      <c r="E61" s="19">
        <f>IF(C61="","",IFERROR(INDEX('Database Buyer'!$C$3:$C$202,MATCH(C61,'Database Buyer'!$A$3:$A$202,0)),""))</f>
        <v/>
      </c>
      <c r="F61" s="16" t="n"/>
      <c r="G61" s="16" t="n"/>
      <c r="H61" s="16" t="n"/>
      <c r="I61" s="16" t="n"/>
      <c r="J61" s="20">
        <f>IF(I61="","",I61*Panduan!$C$25)</f>
        <v/>
      </c>
      <c r="K61" s="21" t="n"/>
      <c r="L61" s="22">
        <f>IF(OR(J61="",K61=""),"",J61*K61)</f>
        <v/>
      </c>
      <c r="M61" s="23">
        <f>IF(L61="","",L61*Panduan!$C$24)</f>
        <v/>
      </c>
      <c r="N61" s="18" t="n"/>
      <c r="O61" s="16" t="n"/>
      <c r="P61" s="16" t="n"/>
    </row>
    <row r="62">
      <c r="A62" s="16" t="n"/>
      <c r="B62" s="18" t="n"/>
      <c r="C62" s="16" t="n"/>
      <c r="D62" s="19">
        <f>IF(C62="","",IFERROR(INDEX('Database Buyer'!$B$3:$B$202,MATCH(C62,'Database Buyer'!$A$3:$A$202,0)),"ID tidak ditemukan"))</f>
        <v/>
      </c>
      <c r="E62" s="19">
        <f>IF(C62="","",IFERROR(INDEX('Database Buyer'!$C$3:$C$202,MATCH(C62,'Database Buyer'!$A$3:$A$202,0)),""))</f>
        <v/>
      </c>
      <c r="F62" s="16" t="n"/>
      <c r="G62" s="16" t="n"/>
      <c r="H62" s="16" t="n"/>
      <c r="I62" s="16" t="n"/>
      <c r="J62" s="20">
        <f>IF(I62="","",I62*Panduan!$C$25)</f>
        <v/>
      </c>
      <c r="K62" s="21" t="n"/>
      <c r="L62" s="22">
        <f>IF(OR(J62="",K62=""),"",J62*K62)</f>
        <v/>
      </c>
      <c r="M62" s="23">
        <f>IF(L62="","",L62*Panduan!$C$24)</f>
        <v/>
      </c>
      <c r="N62" s="18" t="n"/>
      <c r="O62" s="16" t="n"/>
      <c r="P62" s="16" t="n"/>
    </row>
    <row r="63">
      <c r="A63" s="16" t="n"/>
      <c r="B63" s="18" t="n"/>
      <c r="C63" s="16" t="n"/>
      <c r="D63" s="19">
        <f>IF(C63="","",IFERROR(INDEX('Database Buyer'!$B$3:$B$202,MATCH(C63,'Database Buyer'!$A$3:$A$202,0)),"ID tidak ditemukan"))</f>
        <v/>
      </c>
      <c r="E63" s="19">
        <f>IF(C63="","",IFERROR(INDEX('Database Buyer'!$C$3:$C$202,MATCH(C63,'Database Buyer'!$A$3:$A$202,0)),""))</f>
        <v/>
      </c>
      <c r="F63" s="16" t="n"/>
      <c r="G63" s="16" t="n"/>
      <c r="H63" s="16" t="n"/>
      <c r="I63" s="16" t="n"/>
      <c r="J63" s="20">
        <f>IF(I63="","",I63*Panduan!$C$25)</f>
        <v/>
      </c>
      <c r="K63" s="21" t="n"/>
      <c r="L63" s="22">
        <f>IF(OR(J63="",K63=""),"",J63*K63)</f>
        <v/>
      </c>
      <c r="M63" s="23">
        <f>IF(L63="","",L63*Panduan!$C$24)</f>
        <v/>
      </c>
      <c r="N63" s="18" t="n"/>
      <c r="O63" s="16" t="n"/>
      <c r="P63" s="16" t="n"/>
    </row>
    <row r="64">
      <c r="A64" s="16" t="n"/>
      <c r="B64" s="18" t="n"/>
      <c r="C64" s="16" t="n"/>
      <c r="D64" s="19">
        <f>IF(C64="","",IFERROR(INDEX('Database Buyer'!$B$3:$B$202,MATCH(C64,'Database Buyer'!$A$3:$A$202,0)),"ID tidak ditemukan"))</f>
        <v/>
      </c>
      <c r="E64" s="19">
        <f>IF(C64="","",IFERROR(INDEX('Database Buyer'!$C$3:$C$202,MATCH(C64,'Database Buyer'!$A$3:$A$202,0)),""))</f>
        <v/>
      </c>
      <c r="F64" s="16" t="n"/>
      <c r="G64" s="16" t="n"/>
      <c r="H64" s="16" t="n"/>
      <c r="I64" s="16" t="n"/>
      <c r="J64" s="20">
        <f>IF(I64="","",I64*Panduan!$C$25)</f>
        <v/>
      </c>
      <c r="K64" s="21" t="n"/>
      <c r="L64" s="22">
        <f>IF(OR(J64="",K64=""),"",J64*K64)</f>
        <v/>
      </c>
      <c r="M64" s="23">
        <f>IF(L64="","",L64*Panduan!$C$24)</f>
        <v/>
      </c>
      <c r="N64" s="18" t="n"/>
      <c r="O64" s="16" t="n"/>
      <c r="P64" s="16" t="n"/>
    </row>
    <row r="65">
      <c r="A65" s="16" t="n"/>
      <c r="B65" s="18" t="n"/>
      <c r="C65" s="16" t="n"/>
      <c r="D65" s="19">
        <f>IF(C65="","",IFERROR(INDEX('Database Buyer'!$B$3:$B$202,MATCH(C65,'Database Buyer'!$A$3:$A$202,0)),"ID tidak ditemukan"))</f>
        <v/>
      </c>
      <c r="E65" s="19">
        <f>IF(C65="","",IFERROR(INDEX('Database Buyer'!$C$3:$C$202,MATCH(C65,'Database Buyer'!$A$3:$A$202,0)),""))</f>
        <v/>
      </c>
      <c r="F65" s="16" t="n"/>
      <c r="G65" s="16" t="n"/>
      <c r="H65" s="16" t="n"/>
      <c r="I65" s="16" t="n"/>
      <c r="J65" s="20">
        <f>IF(I65="","",I65*Panduan!$C$25)</f>
        <v/>
      </c>
      <c r="K65" s="21" t="n"/>
      <c r="L65" s="22">
        <f>IF(OR(J65="",K65=""),"",J65*K65)</f>
        <v/>
      </c>
      <c r="M65" s="23">
        <f>IF(L65="","",L65*Panduan!$C$24)</f>
        <v/>
      </c>
      <c r="N65" s="18" t="n"/>
      <c r="O65" s="16" t="n"/>
      <c r="P65" s="16" t="n"/>
    </row>
    <row r="66">
      <c r="A66" s="16" t="n"/>
      <c r="B66" s="18" t="n"/>
      <c r="C66" s="16" t="n"/>
      <c r="D66" s="19">
        <f>IF(C66="","",IFERROR(INDEX('Database Buyer'!$B$3:$B$202,MATCH(C66,'Database Buyer'!$A$3:$A$202,0)),"ID tidak ditemukan"))</f>
        <v/>
      </c>
      <c r="E66" s="19">
        <f>IF(C66="","",IFERROR(INDEX('Database Buyer'!$C$3:$C$202,MATCH(C66,'Database Buyer'!$A$3:$A$202,0)),""))</f>
        <v/>
      </c>
      <c r="F66" s="16" t="n"/>
      <c r="G66" s="16" t="n"/>
      <c r="H66" s="16" t="n"/>
      <c r="I66" s="16" t="n"/>
      <c r="J66" s="20">
        <f>IF(I66="","",I66*Panduan!$C$25)</f>
        <v/>
      </c>
      <c r="K66" s="21" t="n"/>
      <c r="L66" s="22">
        <f>IF(OR(J66="",K66=""),"",J66*K66)</f>
        <v/>
      </c>
      <c r="M66" s="23">
        <f>IF(L66="","",L66*Panduan!$C$24)</f>
        <v/>
      </c>
      <c r="N66" s="18" t="n"/>
      <c r="O66" s="16" t="n"/>
      <c r="P66" s="16" t="n"/>
    </row>
    <row r="67">
      <c r="A67" s="16" t="n"/>
      <c r="B67" s="18" t="n"/>
      <c r="C67" s="16" t="n"/>
      <c r="D67" s="19">
        <f>IF(C67="","",IFERROR(INDEX('Database Buyer'!$B$3:$B$202,MATCH(C67,'Database Buyer'!$A$3:$A$202,0)),"ID tidak ditemukan"))</f>
        <v/>
      </c>
      <c r="E67" s="19">
        <f>IF(C67="","",IFERROR(INDEX('Database Buyer'!$C$3:$C$202,MATCH(C67,'Database Buyer'!$A$3:$A$202,0)),""))</f>
        <v/>
      </c>
      <c r="F67" s="16" t="n"/>
      <c r="G67" s="16" t="n"/>
      <c r="H67" s="16" t="n"/>
      <c r="I67" s="16" t="n"/>
      <c r="J67" s="20">
        <f>IF(I67="","",I67*Panduan!$C$25)</f>
        <v/>
      </c>
      <c r="K67" s="21" t="n"/>
      <c r="L67" s="22">
        <f>IF(OR(J67="",K67=""),"",J67*K67)</f>
        <v/>
      </c>
      <c r="M67" s="23">
        <f>IF(L67="","",L67*Panduan!$C$24)</f>
        <v/>
      </c>
      <c r="N67" s="18" t="n"/>
      <c r="O67" s="16" t="n"/>
      <c r="P67" s="16" t="n"/>
    </row>
    <row r="68">
      <c r="A68" s="16" t="n"/>
      <c r="B68" s="18" t="n"/>
      <c r="C68" s="16" t="n"/>
      <c r="D68" s="19">
        <f>IF(C68="","",IFERROR(INDEX('Database Buyer'!$B$3:$B$202,MATCH(C68,'Database Buyer'!$A$3:$A$202,0)),"ID tidak ditemukan"))</f>
        <v/>
      </c>
      <c r="E68" s="19">
        <f>IF(C68="","",IFERROR(INDEX('Database Buyer'!$C$3:$C$202,MATCH(C68,'Database Buyer'!$A$3:$A$202,0)),""))</f>
        <v/>
      </c>
      <c r="F68" s="16" t="n"/>
      <c r="G68" s="16" t="n"/>
      <c r="H68" s="16" t="n"/>
      <c r="I68" s="16" t="n"/>
      <c r="J68" s="20">
        <f>IF(I68="","",I68*Panduan!$C$25)</f>
        <v/>
      </c>
      <c r="K68" s="21" t="n"/>
      <c r="L68" s="22">
        <f>IF(OR(J68="",K68=""),"",J68*K68)</f>
        <v/>
      </c>
      <c r="M68" s="23">
        <f>IF(L68="","",L68*Panduan!$C$24)</f>
        <v/>
      </c>
      <c r="N68" s="18" t="n"/>
      <c r="O68" s="16" t="n"/>
      <c r="P68" s="16" t="n"/>
    </row>
    <row r="69">
      <c r="A69" s="16" t="n"/>
      <c r="B69" s="18" t="n"/>
      <c r="C69" s="16" t="n"/>
      <c r="D69" s="19">
        <f>IF(C69="","",IFERROR(INDEX('Database Buyer'!$B$3:$B$202,MATCH(C69,'Database Buyer'!$A$3:$A$202,0)),"ID tidak ditemukan"))</f>
        <v/>
      </c>
      <c r="E69" s="19">
        <f>IF(C69="","",IFERROR(INDEX('Database Buyer'!$C$3:$C$202,MATCH(C69,'Database Buyer'!$A$3:$A$202,0)),""))</f>
        <v/>
      </c>
      <c r="F69" s="16" t="n"/>
      <c r="G69" s="16" t="n"/>
      <c r="H69" s="16" t="n"/>
      <c r="I69" s="16" t="n"/>
      <c r="J69" s="20">
        <f>IF(I69="","",I69*Panduan!$C$25)</f>
        <v/>
      </c>
      <c r="K69" s="21" t="n"/>
      <c r="L69" s="22">
        <f>IF(OR(J69="",K69=""),"",J69*K69)</f>
        <v/>
      </c>
      <c r="M69" s="23">
        <f>IF(L69="","",L69*Panduan!$C$24)</f>
        <v/>
      </c>
      <c r="N69" s="18" t="n"/>
      <c r="O69" s="16" t="n"/>
      <c r="P69" s="16" t="n"/>
    </row>
    <row r="70">
      <c r="A70" s="16" t="n"/>
      <c r="B70" s="18" t="n"/>
      <c r="C70" s="16" t="n"/>
      <c r="D70" s="19">
        <f>IF(C70="","",IFERROR(INDEX('Database Buyer'!$B$3:$B$202,MATCH(C70,'Database Buyer'!$A$3:$A$202,0)),"ID tidak ditemukan"))</f>
        <v/>
      </c>
      <c r="E70" s="19">
        <f>IF(C70="","",IFERROR(INDEX('Database Buyer'!$C$3:$C$202,MATCH(C70,'Database Buyer'!$A$3:$A$202,0)),""))</f>
        <v/>
      </c>
      <c r="F70" s="16" t="n"/>
      <c r="G70" s="16" t="n"/>
      <c r="H70" s="16" t="n"/>
      <c r="I70" s="16" t="n"/>
      <c r="J70" s="20">
        <f>IF(I70="","",I70*Panduan!$C$25)</f>
        <v/>
      </c>
      <c r="K70" s="21" t="n"/>
      <c r="L70" s="22">
        <f>IF(OR(J70="",K70=""),"",J70*K70)</f>
        <v/>
      </c>
      <c r="M70" s="23">
        <f>IF(L70="","",L70*Panduan!$C$24)</f>
        <v/>
      </c>
      <c r="N70" s="18" t="n"/>
      <c r="O70" s="16" t="n"/>
      <c r="P70" s="16" t="n"/>
    </row>
    <row r="71">
      <c r="A71" s="16" t="n"/>
      <c r="B71" s="18" t="n"/>
      <c r="C71" s="16" t="n"/>
      <c r="D71" s="19">
        <f>IF(C71="","",IFERROR(INDEX('Database Buyer'!$B$3:$B$202,MATCH(C71,'Database Buyer'!$A$3:$A$202,0)),"ID tidak ditemukan"))</f>
        <v/>
      </c>
      <c r="E71" s="19">
        <f>IF(C71="","",IFERROR(INDEX('Database Buyer'!$C$3:$C$202,MATCH(C71,'Database Buyer'!$A$3:$A$202,0)),""))</f>
        <v/>
      </c>
      <c r="F71" s="16" t="n"/>
      <c r="G71" s="16" t="n"/>
      <c r="H71" s="16" t="n"/>
      <c r="I71" s="16" t="n"/>
      <c r="J71" s="20">
        <f>IF(I71="","",I71*Panduan!$C$25)</f>
        <v/>
      </c>
      <c r="K71" s="21" t="n"/>
      <c r="L71" s="22">
        <f>IF(OR(J71="",K71=""),"",J71*K71)</f>
        <v/>
      </c>
      <c r="M71" s="23">
        <f>IF(L71="","",L71*Panduan!$C$24)</f>
        <v/>
      </c>
      <c r="N71" s="18" t="n"/>
      <c r="O71" s="16" t="n"/>
      <c r="P71" s="16" t="n"/>
    </row>
    <row r="72">
      <c r="A72" s="16" t="n"/>
      <c r="B72" s="18" t="n"/>
      <c r="C72" s="16" t="n"/>
      <c r="D72" s="19">
        <f>IF(C72="","",IFERROR(INDEX('Database Buyer'!$B$3:$B$202,MATCH(C72,'Database Buyer'!$A$3:$A$202,0)),"ID tidak ditemukan"))</f>
        <v/>
      </c>
      <c r="E72" s="19">
        <f>IF(C72="","",IFERROR(INDEX('Database Buyer'!$C$3:$C$202,MATCH(C72,'Database Buyer'!$A$3:$A$202,0)),""))</f>
        <v/>
      </c>
      <c r="F72" s="16" t="n"/>
      <c r="G72" s="16" t="n"/>
      <c r="H72" s="16" t="n"/>
      <c r="I72" s="16" t="n"/>
      <c r="J72" s="20">
        <f>IF(I72="","",I72*Panduan!$C$25)</f>
        <v/>
      </c>
      <c r="K72" s="21" t="n"/>
      <c r="L72" s="22">
        <f>IF(OR(J72="",K72=""),"",J72*K72)</f>
        <v/>
      </c>
      <c r="M72" s="23">
        <f>IF(L72="","",L72*Panduan!$C$24)</f>
        <v/>
      </c>
      <c r="N72" s="18" t="n"/>
      <c r="O72" s="16" t="n"/>
      <c r="P72" s="16" t="n"/>
    </row>
    <row r="73">
      <c r="A73" s="16" t="n"/>
      <c r="B73" s="18" t="n"/>
      <c r="C73" s="16" t="n"/>
      <c r="D73" s="19">
        <f>IF(C73="","",IFERROR(INDEX('Database Buyer'!$B$3:$B$202,MATCH(C73,'Database Buyer'!$A$3:$A$202,0)),"ID tidak ditemukan"))</f>
        <v/>
      </c>
      <c r="E73" s="19">
        <f>IF(C73="","",IFERROR(INDEX('Database Buyer'!$C$3:$C$202,MATCH(C73,'Database Buyer'!$A$3:$A$202,0)),""))</f>
        <v/>
      </c>
      <c r="F73" s="16" t="n"/>
      <c r="G73" s="16" t="n"/>
      <c r="H73" s="16" t="n"/>
      <c r="I73" s="16" t="n"/>
      <c r="J73" s="20">
        <f>IF(I73="","",I73*Panduan!$C$25)</f>
        <v/>
      </c>
      <c r="K73" s="21" t="n"/>
      <c r="L73" s="22">
        <f>IF(OR(J73="",K73=""),"",J73*K73)</f>
        <v/>
      </c>
      <c r="M73" s="23">
        <f>IF(L73="","",L73*Panduan!$C$24)</f>
        <v/>
      </c>
      <c r="N73" s="18" t="n"/>
      <c r="O73" s="16" t="n"/>
      <c r="P73" s="16" t="n"/>
    </row>
    <row r="74">
      <c r="A74" s="16" t="n"/>
      <c r="B74" s="18" t="n"/>
      <c r="C74" s="16" t="n"/>
      <c r="D74" s="19">
        <f>IF(C74="","",IFERROR(INDEX('Database Buyer'!$B$3:$B$202,MATCH(C74,'Database Buyer'!$A$3:$A$202,0)),"ID tidak ditemukan"))</f>
        <v/>
      </c>
      <c r="E74" s="19">
        <f>IF(C74="","",IFERROR(INDEX('Database Buyer'!$C$3:$C$202,MATCH(C74,'Database Buyer'!$A$3:$A$202,0)),""))</f>
        <v/>
      </c>
      <c r="F74" s="16" t="n"/>
      <c r="G74" s="16" t="n"/>
      <c r="H74" s="16" t="n"/>
      <c r="I74" s="16" t="n"/>
      <c r="J74" s="20">
        <f>IF(I74="","",I74*Panduan!$C$25)</f>
        <v/>
      </c>
      <c r="K74" s="21" t="n"/>
      <c r="L74" s="22">
        <f>IF(OR(J74="",K74=""),"",J74*K74)</f>
        <v/>
      </c>
      <c r="M74" s="23">
        <f>IF(L74="","",L74*Panduan!$C$24)</f>
        <v/>
      </c>
      <c r="N74" s="18" t="n"/>
      <c r="O74" s="16" t="n"/>
      <c r="P74" s="16" t="n"/>
    </row>
    <row r="75">
      <c r="A75" s="16" t="n"/>
      <c r="B75" s="18" t="n"/>
      <c r="C75" s="16" t="n"/>
      <c r="D75" s="19">
        <f>IF(C75="","",IFERROR(INDEX('Database Buyer'!$B$3:$B$202,MATCH(C75,'Database Buyer'!$A$3:$A$202,0)),"ID tidak ditemukan"))</f>
        <v/>
      </c>
      <c r="E75" s="19">
        <f>IF(C75="","",IFERROR(INDEX('Database Buyer'!$C$3:$C$202,MATCH(C75,'Database Buyer'!$A$3:$A$202,0)),""))</f>
        <v/>
      </c>
      <c r="F75" s="16" t="n"/>
      <c r="G75" s="16" t="n"/>
      <c r="H75" s="16" t="n"/>
      <c r="I75" s="16" t="n"/>
      <c r="J75" s="20">
        <f>IF(I75="","",I75*Panduan!$C$25)</f>
        <v/>
      </c>
      <c r="K75" s="21" t="n"/>
      <c r="L75" s="22">
        <f>IF(OR(J75="",K75=""),"",J75*K75)</f>
        <v/>
      </c>
      <c r="M75" s="23">
        <f>IF(L75="","",L75*Panduan!$C$24)</f>
        <v/>
      </c>
      <c r="N75" s="18" t="n"/>
      <c r="O75" s="16" t="n"/>
      <c r="P75" s="16" t="n"/>
    </row>
    <row r="76">
      <c r="A76" s="16" t="n"/>
      <c r="B76" s="18" t="n"/>
      <c r="C76" s="16" t="n"/>
      <c r="D76" s="19">
        <f>IF(C76="","",IFERROR(INDEX('Database Buyer'!$B$3:$B$202,MATCH(C76,'Database Buyer'!$A$3:$A$202,0)),"ID tidak ditemukan"))</f>
        <v/>
      </c>
      <c r="E76" s="19">
        <f>IF(C76="","",IFERROR(INDEX('Database Buyer'!$C$3:$C$202,MATCH(C76,'Database Buyer'!$A$3:$A$202,0)),""))</f>
        <v/>
      </c>
      <c r="F76" s="16" t="n"/>
      <c r="G76" s="16" t="n"/>
      <c r="H76" s="16" t="n"/>
      <c r="I76" s="16" t="n"/>
      <c r="J76" s="20">
        <f>IF(I76="","",I76*Panduan!$C$25)</f>
        <v/>
      </c>
      <c r="K76" s="21" t="n"/>
      <c r="L76" s="22">
        <f>IF(OR(J76="",K76=""),"",J76*K76)</f>
        <v/>
      </c>
      <c r="M76" s="23">
        <f>IF(L76="","",L76*Panduan!$C$24)</f>
        <v/>
      </c>
      <c r="N76" s="18" t="n"/>
      <c r="O76" s="16" t="n"/>
      <c r="P76" s="16" t="n"/>
    </row>
    <row r="77">
      <c r="A77" s="16" t="n"/>
      <c r="B77" s="18" t="n"/>
      <c r="C77" s="16" t="n"/>
      <c r="D77" s="19">
        <f>IF(C77="","",IFERROR(INDEX('Database Buyer'!$B$3:$B$202,MATCH(C77,'Database Buyer'!$A$3:$A$202,0)),"ID tidak ditemukan"))</f>
        <v/>
      </c>
      <c r="E77" s="19">
        <f>IF(C77="","",IFERROR(INDEX('Database Buyer'!$C$3:$C$202,MATCH(C77,'Database Buyer'!$A$3:$A$202,0)),""))</f>
        <v/>
      </c>
      <c r="F77" s="16" t="n"/>
      <c r="G77" s="16" t="n"/>
      <c r="H77" s="16" t="n"/>
      <c r="I77" s="16" t="n"/>
      <c r="J77" s="20">
        <f>IF(I77="","",I77*Panduan!$C$25)</f>
        <v/>
      </c>
      <c r="K77" s="21" t="n"/>
      <c r="L77" s="22">
        <f>IF(OR(J77="",K77=""),"",J77*K77)</f>
        <v/>
      </c>
      <c r="M77" s="23">
        <f>IF(L77="","",L77*Panduan!$C$24)</f>
        <v/>
      </c>
      <c r="N77" s="18" t="n"/>
      <c r="O77" s="16" t="n"/>
      <c r="P77" s="16" t="n"/>
    </row>
    <row r="78">
      <c r="A78" s="16" t="n"/>
      <c r="B78" s="18" t="n"/>
      <c r="C78" s="16" t="n"/>
      <c r="D78" s="19">
        <f>IF(C78="","",IFERROR(INDEX('Database Buyer'!$B$3:$B$202,MATCH(C78,'Database Buyer'!$A$3:$A$202,0)),"ID tidak ditemukan"))</f>
        <v/>
      </c>
      <c r="E78" s="19">
        <f>IF(C78="","",IFERROR(INDEX('Database Buyer'!$C$3:$C$202,MATCH(C78,'Database Buyer'!$A$3:$A$202,0)),""))</f>
        <v/>
      </c>
      <c r="F78" s="16" t="n"/>
      <c r="G78" s="16" t="n"/>
      <c r="H78" s="16" t="n"/>
      <c r="I78" s="16" t="n"/>
      <c r="J78" s="20">
        <f>IF(I78="","",I78*Panduan!$C$25)</f>
        <v/>
      </c>
      <c r="K78" s="21" t="n"/>
      <c r="L78" s="22">
        <f>IF(OR(J78="",K78=""),"",J78*K78)</f>
        <v/>
      </c>
      <c r="M78" s="23">
        <f>IF(L78="","",L78*Panduan!$C$24)</f>
        <v/>
      </c>
      <c r="N78" s="18" t="n"/>
      <c r="O78" s="16" t="n"/>
      <c r="P78" s="16" t="n"/>
    </row>
    <row r="79">
      <c r="A79" s="16" t="n"/>
      <c r="B79" s="18" t="n"/>
      <c r="C79" s="16" t="n"/>
      <c r="D79" s="19">
        <f>IF(C79="","",IFERROR(INDEX('Database Buyer'!$B$3:$B$202,MATCH(C79,'Database Buyer'!$A$3:$A$202,0)),"ID tidak ditemukan"))</f>
        <v/>
      </c>
      <c r="E79" s="19">
        <f>IF(C79="","",IFERROR(INDEX('Database Buyer'!$C$3:$C$202,MATCH(C79,'Database Buyer'!$A$3:$A$202,0)),""))</f>
        <v/>
      </c>
      <c r="F79" s="16" t="n"/>
      <c r="G79" s="16" t="n"/>
      <c r="H79" s="16" t="n"/>
      <c r="I79" s="16" t="n"/>
      <c r="J79" s="20">
        <f>IF(I79="","",I79*Panduan!$C$25)</f>
        <v/>
      </c>
      <c r="K79" s="21" t="n"/>
      <c r="L79" s="22">
        <f>IF(OR(J79="",K79=""),"",J79*K79)</f>
        <v/>
      </c>
      <c r="M79" s="23">
        <f>IF(L79="","",L79*Panduan!$C$24)</f>
        <v/>
      </c>
      <c r="N79" s="18" t="n"/>
      <c r="O79" s="16" t="n"/>
      <c r="P79" s="16" t="n"/>
    </row>
    <row r="80">
      <c r="A80" s="16" t="n"/>
      <c r="B80" s="18" t="n"/>
      <c r="C80" s="16" t="n"/>
      <c r="D80" s="19">
        <f>IF(C80="","",IFERROR(INDEX('Database Buyer'!$B$3:$B$202,MATCH(C80,'Database Buyer'!$A$3:$A$202,0)),"ID tidak ditemukan"))</f>
        <v/>
      </c>
      <c r="E80" s="19">
        <f>IF(C80="","",IFERROR(INDEX('Database Buyer'!$C$3:$C$202,MATCH(C80,'Database Buyer'!$A$3:$A$202,0)),""))</f>
        <v/>
      </c>
      <c r="F80" s="16" t="n"/>
      <c r="G80" s="16" t="n"/>
      <c r="H80" s="16" t="n"/>
      <c r="I80" s="16" t="n"/>
      <c r="J80" s="20">
        <f>IF(I80="","",I80*Panduan!$C$25)</f>
        <v/>
      </c>
      <c r="K80" s="21" t="n"/>
      <c r="L80" s="22">
        <f>IF(OR(J80="",K80=""),"",J80*K80)</f>
        <v/>
      </c>
      <c r="M80" s="23">
        <f>IF(L80="","",L80*Panduan!$C$24)</f>
        <v/>
      </c>
      <c r="N80" s="18" t="n"/>
      <c r="O80" s="16" t="n"/>
      <c r="P80" s="16" t="n"/>
    </row>
    <row r="81">
      <c r="A81" s="16" t="n"/>
      <c r="B81" s="18" t="n"/>
      <c r="C81" s="16" t="n"/>
      <c r="D81" s="19">
        <f>IF(C81="","",IFERROR(INDEX('Database Buyer'!$B$3:$B$202,MATCH(C81,'Database Buyer'!$A$3:$A$202,0)),"ID tidak ditemukan"))</f>
        <v/>
      </c>
      <c r="E81" s="19">
        <f>IF(C81="","",IFERROR(INDEX('Database Buyer'!$C$3:$C$202,MATCH(C81,'Database Buyer'!$A$3:$A$202,0)),""))</f>
        <v/>
      </c>
      <c r="F81" s="16" t="n"/>
      <c r="G81" s="16" t="n"/>
      <c r="H81" s="16" t="n"/>
      <c r="I81" s="16" t="n"/>
      <c r="J81" s="20">
        <f>IF(I81="","",I81*Panduan!$C$25)</f>
        <v/>
      </c>
      <c r="K81" s="21" t="n"/>
      <c r="L81" s="22">
        <f>IF(OR(J81="",K81=""),"",J81*K81)</f>
        <v/>
      </c>
      <c r="M81" s="23">
        <f>IF(L81="","",L81*Panduan!$C$24)</f>
        <v/>
      </c>
      <c r="N81" s="18" t="n"/>
      <c r="O81" s="16" t="n"/>
      <c r="P81" s="16" t="n"/>
    </row>
    <row r="82">
      <c r="A82" s="16" t="n"/>
      <c r="B82" s="18" t="n"/>
      <c r="C82" s="16" t="n"/>
      <c r="D82" s="19">
        <f>IF(C82="","",IFERROR(INDEX('Database Buyer'!$B$3:$B$202,MATCH(C82,'Database Buyer'!$A$3:$A$202,0)),"ID tidak ditemukan"))</f>
        <v/>
      </c>
      <c r="E82" s="19">
        <f>IF(C82="","",IFERROR(INDEX('Database Buyer'!$C$3:$C$202,MATCH(C82,'Database Buyer'!$A$3:$A$202,0)),""))</f>
        <v/>
      </c>
      <c r="F82" s="16" t="n"/>
      <c r="G82" s="16" t="n"/>
      <c r="H82" s="16" t="n"/>
      <c r="I82" s="16" t="n"/>
      <c r="J82" s="20">
        <f>IF(I82="","",I82*Panduan!$C$25)</f>
        <v/>
      </c>
      <c r="K82" s="21" t="n"/>
      <c r="L82" s="22">
        <f>IF(OR(J82="",K82=""),"",J82*K82)</f>
        <v/>
      </c>
      <c r="M82" s="23">
        <f>IF(L82="","",L82*Panduan!$C$24)</f>
        <v/>
      </c>
      <c r="N82" s="18" t="n"/>
      <c r="O82" s="16" t="n"/>
      <c r="P82" s="16" t="n"/>
    </row>
    <row r="83">
      <c r="A83" s="16" t="n"/>
      <c r="B83" s="18" t="n"/>
      <c r="C83" s="16" t="n"/>
      <c r="D83" s="19">
        <f>IF(C83="","",IFERROR(INDEX('Database Buyer'!$B$3:$B$202,MATCH(C83,'Database Buyer'!$A$3:$A$202,0)),"ID tidak ditemukan"))</f>
        <v/>
      </c>
      <c r="E83" s="19">
        <f>IF(C83="","",IFERROR(INDEX('Database Buyer'!$C$3:$C$202,MATCH(C83,'Database Buyer'!$A$3:$A$202,0)),""))</f>
        <v/>
      </c>
      <c r="F83" s="16" t="n"/>
      <c r="G83" s="16" t="n"/>
      <c r="H83" s="16" t="n"/>
      <c r="I83" s="16" t="n"/>
      <c r="J83" s="20">
        <f>IF(I83="","",I83*Panduan!$C$25)</f>
        <v/>
      </c>
      <c r="K83" s="21" t="n"/>
      <c r="L83" s="22">
        <f>IF(OR(J83="",K83=""),"",J83*K83)</f>
        <v/>
      </c>
      <c r="M83" s="23">
        <f>IF(L83="","",L83*Panduan!$C$24)</f>
        <v/>
      </c>
      <c r="N83" s="18" t="n"/>
      <c r="O83" s="16" t="n"/>
      <c r="P83" s="16" t="n"/>
    </row>
    <row r="84">
      <c r="A84" s="16" t="n"/>
      <c r="B84" s="18" t="n"/>
      <c r="C84" s="16" t="n"/>
      <c r="D84" s="19">
        <f>IF(C84="","",IFERROR(INDEX('Database Buyer'!$B$3:$B$202,MATCH(C84,'Database Buyer'!$A$3:$A$202,0)),"ID tidak ditemukan"))</f>
        <v/>
      </c>
      <c r="E84" s="19">
        <f>IF(C84="","",IFERROR(INDEX('Database Buyer'!$C$3:$C$202,MATCH(C84,'Database Buyer'!$A$3:$A$202,0)),""))</f>
        <v/>
      </c>
      <c r="F84" s="16" t="n"/>
      <c r="G84" s="16" t="n"/>
      <c r="H84" s="16" t="n"/>
      <c r="I84" s="16" t="n"/>
      <c r="J84" s="20">
        <f>IF(I84="","",I84*Panduan!$C$25)</f>
        <v/>
      </c>
      <c r="K84" s="21" t="n"/>
      <c r="L84" s="22">
        <f>IF(OR(J84="",K84=""),"",J84*K84)</f>
        <v/>
      </c>
      <c r="M84" s="23">
        <f>IF(L84="","",L84*Panduan!$C$24)</f>
        <v/>
      </c>
      <c r="N84" s="18" t="n"/>
      <c r="O84" s="16" t="n"/>
      <c r="P84" s="16" t="n"/>
    </row>
    <row r="85">
      <c r="A85" s="16" t="n"/>
      <c r="B85" s="18" t="n"/>
      <c r="C85" s="16" t="n"/>
      <c r="D85" s="19">
        <f>IF(C85="","",IFERROR(INDEX('Database Buyer'!$B$3:$B$202,MATCH(C85,'Database Buyer'!$A$3:$A$202,0)),"ID tidak ditemukan"))</f>
        <v/>
      </c>
      <c r="E85" s="19">
        <f>IF(C85="","",IFERROR(INDEX('Database Buyer'!$C$3:$C$202,MATCH(C85,'Database Buyer'!$A$3:$A$202,0)),""))</f>
        <v/>
      </c>
      <c r="F85" s="16" t="n"/>
      <c r="G85" s="16" t="n"/>
      <c r="H85" s="16" t="n"/>
      <c r="I85" s="16" t="n"/>
      <c r="J85" s="20">
        <f>IF(I85="","",I85*Panduan!$C$25)</f>
        <v/>
      </c>
      <c r="K85" s="21" t="n"/>
      <c r="L85" s="22">
        <f>IF(OR(J85="",K85=""),"",J85*K85)</f>
        <v/>
      </c>
      <c r="M85" s="23">
        <f>IF(L85="","",L85*Panduan!$C$24)</f>
        <v/>
      </c>
      <c r="N85" s="18" t="n"/>
      <c r="O85" s="16" t="n"/>
      <c r="P85" s="16" t="n"/>
    </row>
    <row r="86">
      <c r="A86" s="16" t="n"/>
      <c r="B86" s="18" t="n"/>
      <c r="C86" s="16" t="n"/>
      <c r="D86" s="19">
        <f>IF(C86="","",IFERROR(INDEX('Database Buyer'!$B$3:$B$202,MATCH(C86,'Database Buyer'!$A$3:$A$202,0)),"ID tidak ditemukan"))</f>
        <v/>
      </c>
      <c r="E86" s="19">
        <f>IF(C86="","",IFERROR(INDEX('Database Buyer'!$C$3:$C$202,MATCH(C86,'Database Buyer'!$A$3:$A$202,0)),""))</f>
        <v/>
      </c>
      <c r="F86" s="16" t="n"/>
      <c r="G86" s="16" t="n"/>
      <c r="H86" s="16" t="n"/>
      <c r="I86" s="16" t="n"/>
      <c r="J86" s="20">
        <f>IF(I86="","",I86*Panduan!$C$25)</f>
        <v/>
      </c>
      <c r="K86" s="21" t="n"/>
      <c r="L86" s="22">
        <f>IF(OR(J86="",K86=""),"",J86*K86)</f>
        <v/>
      </c>
      <c r="M86" s="23">
        <f>IF(L86="","",L86*Panduan!$C$24)</f>
        <v/>
      </c>
      <c r="N86" s="18" t="n"/>
      <c r="O86" s="16" t="n"/>
      <c r="P86" s="16" t="n"/>
    </row>
    <row r="87">
      <c r="A87" s="16" t="n"/>
      <c r="B87" s="18" t="n"/>
      <c r="C87" s="16" t="n"/>
      <c r="D87" s="19">
        <f>IF(C87="","",IFERROR(INDEX('Database Buyer'!$B$3:$B$202,MATCH(C87,'Database Buyer'!$A$3:$A$202,0)),"ID tidak ditemukan"))</f>
        <v/>
      </c>
      <c r="E87" s="19">
        <f>IF(C87="","",IFERROR(INDEX('Database Buyer'!$C$3:$C$202,MATCH(C87,'Database Buyer'!$A$3:$A$202,0)),""))</f>
        <v/>
      </c>
      <c r="F87" s="16" t="n"/>
      <c r="G87" s="16" t="n"/>
      <c r="H87" s="16" t="n"/>
      <c r="I87" s="16" t="n"/>
      <c r="J87" s="20">
        <f>IF(I87="","",I87*Panduan!$C$25)</f>
        <v/>
      </c>
      <c r="K87" s="21" t="n"/>
      <c r="L87" s="22">
        <f>IF(OR(J87="",K87=""),"",J87*K87)</f>
        <v/>
      </c>
      <c r="M87" s="23">
        <f>IF(L87="","",L87*Panduan!$C$24)</f>
        <v/>
      </c>
      <c r="N87" s="18" t="n"/>
      <c r="O87" s="16" t="n"/>
      <c r="P87" s="16" t="n"/>
    </row>
    <row r="88">
      <c r="A88" s="16" t="n"/>
      <c r="B88" s="18" t="n"/>
      <c r="C88" s="16" t="n"/>
      <c r="D88" s="19">
        <f>IF(C88="","",IFERROR(INDEX('Database Buyer'!$B$3:$B$202,MATCH(C88,'Database Buyer'!$A$3:$A$202,0)),"ID tidak ditemukan"))</f>
        <v/>
      </c>
      <c r="E88" s="19">
        <f>IF(C88="","",IFERROR(INDEX('Database Buyer'!$C$3:$C$202,MATCH(C88,'Database Buyer'!$A$3:$A$202,0)),""))</f>
        <v/>
      </c>
      <c r="F88" s="16" t="n"/>
      <c r="G88" s="16" t="n"/>
      <c r="H88" s="16" t="n"/>
      <c r="I88" s="16" t="n"/>
      <c r="J88" s="20">
        <f>IF(I88="","",I88*Panduan!$C$25)</f>
        <v/>
      </c>
      <c r="K88" s="21" t="n"/>
      <c r="L88" s="22">
        <f>IF(OR(J88="",K88=""),"",J88*K88)</f>
        <v/>
      </c>
      <c r="M88" s="23">
        <f>IF(L88="","",L88*Panduan!$C$24)</f>
        <v/>
      </c>
      <c r="N88" s="18" t="n"/>
      <c r="O88" s="16" t="n"/>
      <c r="P88" s="16" t="n"/>
    </row>
    <row r="89">
      <c r="A89" s="16" t="n"/>
      <c r="B89" s="18" t="n"/>
      <c r="C89" s="16" t="n"/>
      <c r="D89" s="19">
        <f>IF(C89="","",IFERROR(INDEX('Database Buyer'!$B$3:$B$202,MATCH(C89,'Database Buyer'!$A$3:$A$202,0)),"ID tidak ditemukan"))</f>
        <v/>
      </c>
      <c r="E89" s="19">
        <f>IF(C89="","",IFERROR(INDEX('Database Buyer'!$C$3:$C$202,MATCH(C89,'Database Buyer'!$A$3:$A$202,0)),""))</f>
        <v/>
      </c>
      <c r="F89" s="16" t="n"/>
      <c r="G89" s="16" t="n"/>
      <c r="H89" s="16" t="n"/>
      <c r="I89" s="16" t="n"/>
      <c r="J89" s="20">
        <f>IF(I89="","",I89*Panduan!$C$25)</f>
        <v/>
      </c>
      <c r="K89" s="21" t="n"/>
      <c r="L89" s="22">
        <f>IF(OR(J89="",K89=""),"",J89*K89)</f>
        <v/>
      </c>
      <c r="M89" s="23">
        <f>IF(L89="","",L89*Panduan!$C$24)</f>
        <v/>
      </c>
      <c r="N89" s="18" t="n"/>
      <c r="O89" s="16" t="n"/>
      <c r="P89" s="16" t="n"/>
    </row>
    <row r="90">
      <c r="A90" s="16" t="n"/>
      <c r="B90" s="18" t="n"/>
      <c r="C90" s="16" t="n"/>
      <c r="D90" s="19">
        <f>IF(C90="","",IFERROR(INDEX('Database Buyer'!$B$3:$B$202,MATCH(C90,'Database Buyer'!$A$3:$A$202,0)),"ID tidak ditemukan"))</f>
        <v/>
      </c>
      <c r="E90" s="19">
        <f>IF(C90="","",IFERROR(INDEX('Database Buyer'!$C$3:$C$202,MATCH(C90,'Database Buyer'!$A$3:$A$202,0)),""))</f>
        <v/>
      </c>
      <c r="F90" s="16" t="n"/>
      <c r="G90" s="16" t="n"/>
      <c r="H90" s="16" t="n"/>
      <c r="I90" s="16" t="n"/>
      <c r="J90" s="20">
        <f>IF(I90="","",I90*Panduan!$C$25)</f>
        <v/>
      </c>
      <c r="K90" s="21" t="n"/>
      <c r="L90" s="22">
        <f>IF(OR(J90="",K90=""),"",J90*K90)</f>
        <v/>
      </c>
      <c r="M90" s="23">
        <f>IF(L90="","",L90*Panduan!$C$24)</f>
        <v/>
      </c>
      <c r="N90" s="18" t="n"/>
      <c r="O90" s="16" t="n"/>
      <c r="P90" s="16" t="n"/>
    </row>
    <row r="91">
      <c r="A91" s="16" t="n"/>
      <c r="B91" s="18" t="n"/>
      <c r="C91" s="16" t="n"/>
      <c r="D91" s="19">
        <f>IF(C91="","",IFERROR(INDEX('Database Buyer'!$B$3:$B$202,MATCH(C91,'Database Buyer'!$A$3:$A$202,0)),"ID tidak ditemukan"))</f>
        <v/>
      </c>
      <c r="E91" s="19">
        <f>IF(C91="","",IFERROR(INDEX('Database Buyer'!$C$3:$C$202,MATCH(C91,'Database Buyer'!$A$3:$A$202,0)),""))</f>
        <v/>
      </c>
      <c r="F91" s="16" t="n"/>
      <c r="G91" s="16" t="n"/>
      <c r="H91" s="16" t="n"/>
      <c r="I91" s="16" t="n"/>
      <c r="J91" s="20">
        <f>IF(I91="","",I91*Panduan!$C$25)</f>
        <v/>
      </c>
      <c r="K91" s="21" t="n"/>
      <c r="L91" s="22">
        <f>IF(OR(J91="",K91=""),"",J91*K91)</f>
        <v/>
      </c>
      <c r="M91" s="23">
        <f>IF(L91="","",L91*Panduan!$C$24)</f>
        <v/>
      </c>
      <c r="N91" s="18" t="n"/>
      <c r="O91" s="16" t="n"/>
      <c r="P91" s="16" t="n"/>
    </row>
    <row r="92">
      <c r="A92" s="16" t="n"/>
      <c r="B92" s="18" t="n"/>
      <c r="C92" s="16" t="n"/>
      <c r="D92" s="19">
        <f>IF(C92="","",IFERROR(INDEX('Database Buyer'!$B$3:$B$202,MATCH(C92,'Database Buyer'!$A$3:$A$202,0)),"ID tidak ditemukan"))</f>
        <v/>
      </c>
      <c r="E92" s="19">
        <f>IF(C92="","",IFERROR(INDEX('Database Buyer'!$C$3:$C$202,MATCH(C92,'Database Buyer'!$A$3:$A$202,0)),""))</f>
        <v/>
      </c>
      <c r="F92" s="16" t="n"/>
      <c r="G92" s="16" t="n"/>
      <c r="H92" s="16" t="n"/>
      <c r="I92" s="16" t="n"/>
      <c r="J92" s="20">
        <f>IF(I92="","",I92*Panduan!$C$25)</f>
        <v/>
      </c>
      <c r="K92" s="21" t="n"/>
      <c r="L92" s="22">
        <f>IF(OR(J92="",K92=""),"",J92*K92)</f>
        <v/>
      </c>
      <c r="M92" s="23">
        <f>IF(L92="","",L92*Panduan!$C$24)</f>
        <v/>
      </c>
      <c r="N92" s="18" t="n"/>
      <c r="O92" s="16" t="n"/>
      <c r="P92" s="16" t="n"/>
    </row>
    <row r="93">
      <c r="A93" s="16" t="n"/>
      <c r="B93" s="18" t="n"/>
      <c r="C93" s="16" t="n"/>
      <c r="D93" s="19">
        <f>IF(C93="","",IFERROR(INDEX('Database Buyer'!$B$3:$B$202,MATCH(C93,'Database Buyer'!$A$3:$A$202,0)),"ID tidak ditemukan"))</f>
        <v/>
      </c>
      <c r="E93" s="19">
        <f>IF(C93="","",IFERROR(INDEX('Database Buyer'!$C$3:$C$202,MATCH(C93,'Database Buyer'!$A$3:$A$202,0)),""))</f>
        <v/>
      </c>
      <c r="F93" s="16" t="n"/>
      <c r="G93" s="16" t="n"/>
      <c r="H93" s="16" t="n"/>
      <c r="I93" s="16" t="n"/>
      <c r="J93" s="20">
        <f>IF(I93="","",I93*Panduan!$C$25)</f>
        <v/>
      </c>
      <c r="K93" s="21" t="n"/>
      <c r="L93" s="22">
        <f>IF(OR(J93="",K93=""),"",J93*K93)</f>
        <v/>
      </c>
      <c r="M93" s="23">
        <f>IF(L93="","",L93*Panduan!$C$24)</f>
        <v/>
      </c>
      <c r="N93" s="18" t="n"/>
      <c r="O93" s="16" t="n"/>
      <c r="P93" s="16" t="n"/>
    </row>
    <row r="94">
      <c r="A94" s="16" t="n"/>
      <c r="B94" s="18" t="n"/>
      <c r="C94" s="16" t="n"/>
      <c r="D94" s="19">
        <f>IF(C94="","",IFERROR(INDEX('Database Buyer'!$B$3:$B$202,MATCH(C94,'Database Buyer'!$A$3:$A$202,0)),"ID tidak ditemukan"))</f>
        <v/>
      </c>
      <c r="E94" s="19">
        <f>IF(C94="","",IFERROR(INDEX('Database Buyer'!$C$3:$C$202,MATCH(C94,'Database Buyer'!$A$3:$A$202,0)),""))</f>
        <v/>
      </c>
      <c r="F94" s="16" t="n"/>
      <c r="G94" s="16" t="n"/>
      <c r="H94" s="16" t="n"/>
      <c r="I94" s="16" t="n"/>
      <c r="J94" s="20">
        <f>IF(I94="","",I94*Panduan!$C$25)</f>
        <v/>
      </c>
      <c r="K94" s="21" t="n"/>
      <c r="L94" s="22">
        <f>IF(OR(J94="",K94=""),"",J94*K94)</f>
        <v/>
      </c>
      <c r="M94" s="23">
        <f>IF(L94="","",L94*Panduan!$C$24)</f>
        <v/>
      </c>
      <c r="N94" s="18" t="n"/>
      <c r="O94" s="16" t="n"/>
      <c r="P94" s="16" t="n"/>
    </row>
    <row r="95">
      <c r="A95" s="16" t="n"/>
      <c r="B95" s="18" t="n"/>
      <c r="C95" s="16" t="n"/>
      <c r="D95" s="19">
        <f>IF(C95="","",IFERROR(INDEX('Database Buyer'!$B$3:$B$202,MATCH(C95,'Database Buyer'!$A$3:$A$202,0)),"ID tidak ditemukan"))</f>
        <v/>
      </c>
      <c r="E95" s="19">
        <f>IF(C95="","",IFERROR(INDEX('Database Buyer'!$C$3:$C$202,MATCH(C95,'Database Buyer'!$A$3:$A$202,0)),""))</f>
        <v/>
      </c>
      <c r="F95" s="16" t="n"/>
      <c r="G95" s="16" t="n"/>
      <c r="H95" s="16" t="n"/>
      <c r="I95" s="16" t="n"/>
      <c r="J95" s="20">
        <f>IF(I95="","",I95*Panduan!$C$25)</f>
        <v/>
      </c>
      <c r="K95" s="21" t="n"/>
      <c r="L95" s="22">
        <f>IF(OR(J95="",K95=""),"",J95*K95)</f>
        <v/>
      </c>
      <c r="M95" s="23">
        <f>IF(L95="","",L95*Panduan!$C$24)</f>
        <v/>
      </c>
      <c r="N95" s="18" t="n"/>
      <c r="O95" s="16" t="n"/>
      <c r="P95" s="16" t="n"/>
    </row>
    <row r="96">
      <c r="A96" s="16" t="n"/>
      <c r="B96" s="18" t="n"/>
      <c r="C96" s="16" t="n"/>
      <c r="D96" s="19">
        <f>IF(C96="","",IFERROR(INDEX('Database Buyer'!$B$3:$B$202,MATCH(C96,'Database Buyer'!$A$3:$A$202,0)),"ID tidak ditemukan"))</f>
        <v/>
      </c>
      <c r="E96" s="19">
        <f>IF(C96="","",IFERROR(INDEX('Database Buyer'!$C$3:$C$202,MATCH(C96,'Database Buyer'!$A$3:$A$202,0)),""))</f>
        <v/>
      </c>
      <c r="F96" s="16" t="n"/>
      <c r="G96" s="16" t="n"/>
      <c r="H96" s="16" t="n"/>
      <c r="I96" s="16" t="n"/>
      <c r="J96" s="20">
        <f>IF(I96="","",I96*Panduan!$C$25)</f>
        <v/>
      </c>
      <c r="K96" s="21" t="n"/>
      <c r="L96" s="22">
        <f>IF(OR(J96="",K96=""),"",J96*K96)</f>
        <v/>
      </c>
      <c r="M96" s="23">
        <f>IF(L96="","",L96*Panduan!$C$24)</f>
        <v/>
      </c>
      <c r="N96" s="18" t="n"/>
      <c r="O96" s="16" t="n"/>
      <c r="P96" s="16" t="n"/>
    </row>
    <row r="97">
      <c r="A97" s="16" t="n"/>
      <c r="B97" s="18" t="n"/>
      <c r="C97" s="16" t="n"/>
      <c r="D97" s="19">
        <f>IF(C97="","",IFERROR(INDEX('Database Buyer'!$B$3:$B$202,MATCH(C97,'Database Buyer'!$A$3:$A$202,0)),"ID tidak ditemukan"))</f>
        <v/>
      </c>
      <c r="E97" s="19">
        <f>IF(C97="","",IFERROR(INDEX('Database Buyer'!$C$3:$C$202,MATCH(C97,'Database Buyer'!$A$3:$A$202,0)),""))</f>
        <v/>
      </c>
      <c r="F97" s="16" t="n"/>
      <c r="G97" s="16" t="n"/>
      <c r="H97" s="16" t="n"/>
      <c r="I97" s="16" t="n"/>
      <c r="J97" s="20">
        <f>IF(I97="","",I97*Panduan!$C$25)</f>
        <v/>
      </c>
      <c r="K97" s="21" t="n"/>
      <c r="L97" s="22">
        <f>IF(OR(J97="",K97=""),"",J97*K97)</f>
        <v/>
      </c>
      <c r="M97" s="23">
        <f>IF(L97="","",L97*Panduan!$C$24)</f>
        <v/>
      </c>
      <c r="N97" s="18" t="n"/>
      <c r="O97" s="16" t="n"/>
      <c r="P97" s="16" t="n"/>
    </row>
    <row r="98">
      <c r="A98" s="16" t="n"/>
      <c r="B98" s="18" t="n"/>
      <c r="C98" s="16" t="n"/>
      <c r="D98" s="19">
        <f>IF(C98="","",IFERROR(INDEX('Database Buyer'!$B$3:$B$202,MATCH(C98,'Database Buyer'!$A$3:$A$202,0)),"ID tidak ditemukan"))</f>
        <v/>
      </c>
      <c r="E98" s="19">
        <f>IF(C98="","",IFERROR(INDEX('Database Buyer'!$C$3:$C$202,MATCH(C98,'Database Buyer'!$A$3:$A$202,0)),""))</f>
        <v/>
      </c>
      <c r="F98" s="16" t="n"/>
      <c r="G98" s="16" t="n"/>
      <c r="H98" s="16" t="n"/>
      <c r="I98" s="16" t="n"/>
      <c r="J98" s="20">
        <f>IF(I98="","",I98*Panduan!$C$25)</f>
        <v/>
      </c>
      <c r="K98" s="21" t="n"/>
      <c r="L98" s="22">
        <f>IF(OR(J98="",K98=""),"",J98*K98)</f>
        <v/>
      </c>
      <c r="M98" s="23">
        <f>IF(L98="","",L98*Panduan!$C$24)</f>
        <v/>
      </c>
      <c r="N98" s="18" t="n"/>
      <c r="O98" s="16" t="n"/>
      <c r="P98" s="16" t="n"/>
    </row>
    <row r="99">
      <c r="A99" s="16" t="n"/>
      <c r="B99" s="18" t="n"/>
      <c r="C99" s="16" t="n"/>
      <c r="D99" s="19">
        <f>IF(C99="","",IFERROR(INDEX('Database Buyer'!$B$3:$B$202,MATCH(C99,'Database Buyer'!$A$3:$A$202,0)),"ID tidak ditemukan"))</f>
        <v/>
      </c>
      <c r="E99" s="19">
        <f>IF(C99="","",IFERROR(INDEX('Database Buyer'!$C$3:$C$202,MATCH(C99,'Database Buyer'!$A$3:$A$202,0)),""))</f>
        <v/>
      </c>
      <c r="F99" s="16" t="n"/>
      <c r="G99" s="16" t="n"/>
      <c r="H99" s="16" t="n"/>
      <c r="I99" s="16" t="n"/>
      <c r="J99" s="20">
        <f>IF(I99="","",I99*Panduan!$C$25)</f>
        <v/>
      </c>
      <c r="K99" s="21" t="n"/>
      <c r="L99" s="22">
        <f>IF(OR(J99="",K99=""),"",J99*K99)</f>
        <v/>
      </c>
      <c r="M99" s="23">
        <f>IF(L99="","",L99*Panduan!$C$24)</f>
        <v/>
      </c>
      <c r="N99" s="18" t="n"/>
      <c r="O99" s="16" t="n"/>
      <c r="P99" s="16" t="n"/>
    </row>
    <row r="100">
      <c r="A100" s="16" t="n"/>
      <c r="B100" s="18" t="n"/>
      <c r="C100" s="16" t="n"/>
      <c r="D100" s="19">
        <f>IF(C100="","",IFERROR(INDEX('Database Buyer'!$B$3:$B$202,MATCH(C100,'Database Buyer'!$A$3:$A$202,0)),"ID tidak ditemukan"))</f>
        <v/>
      </c>
      <c r="E100" s="19">
        <f>IF(C100="","",IFERROR(INDEX('Database Buyer'!$C$3:$C$202,MATCH(C100,'Database Buyer'!$A$3:$A$202,0)),""))</f>
        <v/>
      </c>
      <c r="F100" s="16" t="n"/>
      <c r="G100" s="16" t="n"/>
      <c r="H100" s="16" t="n"/>
      <c r="I100" s="16" t="n"/>
      <c r="J100" s="20">
        <f>IF(I100="","",I100*Panduan!$C$25)</f>
        <v/>
      </c>
      <c r="K100" s="21" t="n"/>
      <c r="L100" s="22">
        <f>IF(OR(J100="",K100=""),"",J100*K100)</f>
        <v/>
      </c>
      <c r="M100" s="23">
        <f>IF(L100="","",L100*Panduan!$C$24)</f>
        <v/>
      </c>
      <c r="N100" s="18" t="n"/>
      <c r="O100" s="16" t="n"/>
      <c r="P100" s="16" t="n"/>
    </row>
    <row r="101">
      <c r="A101" s="16" t="n"/>
      <c r="B101" s="18" t="n"/>
      <c r="C101" s="16" t="n"/>
      <c r="D101" s="19">
        <f>IF(C101="","",IFERROR(INDEX('Database Buyer'!$B$3:$B$202,MATCH(C101,'Database Buyer'!$A$3:$A$202,0)),"ID tidak ditemukan"))</f>
        <v/>
      </c>
      <c r="E101" s="19">
        <f>IF(C101="","",IFERROR(INDEX('Database Buyer'!$C$3:$C$202,MATCH(C101,'Database Buyer'!$A$3:$A$202,0)),""))</f>
        <v/>
      </c>
      <c r="F101" s="16" t="n"/>
      <c r="G101" s="16" t="n"/>
      <c r="H101" s="16" t="n"/>
      <c r="I101" s="16" t="n"/>
      <c r="J101" s="20">
        <f>IF(I101="","",I101*Panduan!$C$25)</f>
        <v/>
      </c>
      <c r="K101" s="21" t="n"/>
      <c r="L101" s="22">
        <f>IF(OR(J101="",K101=""),"",J101*K101)</f>
        <v/>
      </c>
      <c r="M101" s="23">
        <f>IF(L101="","",L101*Panduan!$C$24)</f>
        <v/>
      </c>
      <c r="N101" s="18" t="n"/>
      <c r="O101" s="16" t="n"/>
      <c r="P101" s="16" t="n"/>
    </row>
    <row r="102">
      <c r="A102" s="16" t="n"/>
      <c r="B102" s="18" t="n"/>
      <c r="C102" s="16" t="n"/>
      <c r="D102" s="19">
        <f>IF(C102="","",IFERROR(INDEX('Database Buyer'!$B$3:$B$202,MATCH(C102,'Database Buyer'!$A$3:$A$202,0)),"ID tidak ditemukan"))</f>
        <v/>
      </c>
      <c r="E102" s="19">
        <f>IF(C102="","",IFERROR(INDEX('Database Buyer'!$C$3:$C$202,MATCH(C102,'Database Buyer'!$A$3:$A$202,0)),""))</f>
        <v/>
      </c>
      <c r="F102" s="16" t="n"/>
      <c r="G102" s="16" t="n"/>
      <c r="H102" s="16" t="n"/>
      <c r="I102" s="16" t="n"/>
      <c r="J102" s="20">
        <f>IF(I102="","",I102*Panduan!$C$25)</f>
        <v/>
      </c>
      <c r="K102" s="21" t="n"/>
      <c r="L102" s="22">
        <f>IF(OR(J102="",K102=""),"",J102*K102)</f>
        <v/>
      </c>
      <c r="M102" s="23">
        <f>IF(L102="","",L102*Panduan!$C$24)</f>
        <v/>
      </c>
      <c r="N102" s="18" t="n"/>
      <c r="O102" s="16" t="n"/>
      <c r="P102" s="16" t="n"/>
    </row>
    <row r="103">
      <c r="A103" s="16" t="n"/>
      <c r="B103" s="18" t="n"/>
      <c r="C103" s="16" t="n"/>
      <c r="D103" s="19">
        <f>IF(C103="","",IFERROR(INDEX('Database Buyer'!$B$3:$B$202,MATCH(C103,'Database Buyer'!$A$3:$A$202,0)),"ID tidak ditemukan"))</f>
        <v/>
      </c>
      <c r="E103" s="19">
        <f>IF(C103="","",IFERROR(INDEX('Database Buyer'!$C$3:$C$202,MATCH(C103,'Database Buyer'!$A$3:$A$202,0)),""))</f>
        <v/>
      </c>
      <c r="F103" s="16" t="n"/>
      <c r="G103" s="16" t="n"/>
      <c r="H103" s="16" t="n"/>
      <c r="I103" s="16" t="n"/>
      <c r="J103" s="20">
        <f>IF(I103="","",I103*Panduan!$C$25)</f>
        <v/>
      </c>
      <c r="K103" s="21" t="n"/>
      <c r="L103" s="22">
        <f>IF(OR(J103="",K103=""),"",J103*K103)</f>
        <v/>
      </c>
      <c r="M103" s="23">
        <f>IF(L103="","",L103*Panduan!$C$24)</f>
        <v/>
      </c>
      <c r="N103" s="18" t="n"/>
      <c r="O103" s="16" t="n"/>
      <c r="P103" s="16" t="n"/>
    </row>
    <row r="104">
      <c r="A104" s="16" t="n"/>
      <c r="B104" s="18" t="n"/>
      <c r="C104" s="16" t="n"/>
      <c r="D104" s="19">
        <f>IF(C104="","",IFERROR(INDEX('Database Buyer'!$B$3:$B$202,MATCH(C104,'Database Buyer'!$A$3:$A$202,0)),"ID tidak ditemukan"))</f>
        <v/>
      </c>
      <c r="E104" s="19">
        <f>IF(C104="","",IFERROR(INDEX('Database Buyer'!$C$3:$C$202,MATCH(C104,'Database Buyer'!$A$3:$A$202,0)),""))</f>
        <v/>
      </c>
      <c r="F104" s="16" t="n"/>
      <c r="G104" s="16" t="n"/>
      <c r="H104" s="16" t="n"/>
      <c r="I104" s="16" t="n"/>
      <c r="J104" s="20">
        <f>IF(I104="","",I104*Panduan!$C$25)</f>
        <v/>
      </c>
      <c r="K104" s="21" t="n"/>
      <c r="L104" s="22">
        <f>IF(OR(J104="",K104=""),"",J104*K104)</f>
        <v/>
      </c>
      <c r="M104" s="23">
        <f>IF(L104="","",L104*Panduan!$C$24)</f>
        <v/>
      </c>
      <c r="N104" s="18" t="n"/>
      <c r="O104" s="16" t="n"/>
      <c r="P104" s="16" t="n"/>
    </row>
    <row r="105">
      <c r="A105" s="16" t="n"/>
      <c r="B105" s="18" t="n"/>
      <c r="C105" s="16" t="n"/>
      <c r="D105" s="19">
        <f>IF(C105="","",IFERROR(INDEX('Database Buyer'!$B$3:$B$202,MATCH(C105,'Database Buyer'!$A$3:$A$202,0)),"ID tidak ditemukan"))</f>
        <v/>
      </c>
      <c r="E105" s="19">
        <f>IF(C105="","",IFERROR(INDEX('Database Buyer'!$C$3:$C$202,MATCH(C105,'Database Buyer'!$A$3:$A$202,0)),""))</f>
        <v/>
      </c>
      <c r="F105" s="16" t="n"/>
      <c r="G105" s="16" t="n"/>
      <c r="H105" s="16" t="n"/>
      <c r="I105" s="16" t="n"/>
      <c r="J105" s="20">
        <f>IF(I105="","",I105*Panduan!$C$25)</f>
        <v/>
      </c>
      <c r="K105" s="21" t="n"/>
      <c r="L105" s="22">
        <f>IF(OR(J105="",K105=""),"",J105*K105)</f>
        <v/>
      </c>
      <c r="M105" s="23">
        <f>IF(L105="","",L105*Panduan!$C$24)</f>
        <v/>
      </c>
      <c r="N105" s="18" t="n"/>
      <c r="O105" s="16" t="n"/>
      <c r="P105" s="16" t="n"/>
    </row>
    <row r="106">
      <c r="A106" s="16" t="n"/>
      <c r="B106" s="18" t="n"/>
      <c r="C106" s="16" t="n"/>
      <c r="D106" s="19">
        <f>IF(C106="","",IFERROR(INDEX('Database Buyer'!$B$3:$B$202,MATCH(C106,'Database Buyer'!$A$3:$A$202,0)),"ID tidak ditemukan"))</f>
        <v/>
      </c>
      <c r="E106" s="19">
        <f>IF(C106="","",IFERROR(INDEX('Database Buyer'!$C$3:$C$202,MATCH(C106,'Database Buyer'!$A$3:$A$202,0)),""))</f>
        <v/>
      </c>
      <c r="F106" s="16" t="n"/>
      <c r="G106" s="16" t="n"/>
      <c r="H106" s="16" t="n"/>
      <c r="I106" s="16" t="n"/>
      <c r="J106" s="20">
        <f>IF(I106="","",I106*Panduan!$C$25)</f>
        <v/>
      </c>
      <c r="K106" s="21" t="n"/>
      <c r="L106" s="22">
        <f>IF(OR(J106="",K106=""),"",J106*K106)</f>
        <v/>
      </c>
      <c r="M106" s="23">
        <f>IF(L106="","",L106*Panduan!$C$24)</f>
        <v/>
      </c>
      <c r="N106" s="18" t="n"/>
      <c r="O106" s="16" t="n"/>
      <c r="P106" s="16" t="n"/>
    </row>
    <row r="107">
      <c r="A107" s="16" t="n"/>
      <c r="B107" s="18" t="n"/>
      <c r="C107" s="16" t="n"/>
      <c r="D107" s="19">
        <f>IF(C107="","",IFERROR(INDEX('Database Buyer'!$B$3:$B$202,MATCH(C107,'Database Buyer'!$A$3:$A$202,0)),"ID tidak ditemukan"))</f>
        <v/>
      </c>
      <c r="E107" s="19">
        <f>IF(C107="","",IFERROR(INDEX('Database Buyer'!$C$3:$C$202,MATCH(C107,'Database Buyer'!$A$3:$A$202,0)),""))</f>
        <v/>
      </c>
      <c r="F107" s="16" t="n"/>
      <c r="G107" s="16" t="n"/>
      <c r="H107" s="16" t="n"/>
      <c r="I107" s="16" t="n"/>
      <c r="J107" s="20">
        <f>IF(I107="","",I107*Panduan!$C$25)</f>
        <v/>
      </c>
      <c r="K107" s="21" t="n"/>
      <c r="L107" s="22">
        <f>IF(OR(J107="",K107=""),"",J107*K107)</f>
        <v/>
      </c>
      <c r="M107" s="23">
        <f>IF(L107="","",L107*Panduan!$C$24)</f>
        <v/>
      </c>
      <c r="N107" s="18" t="n"/>
      <c r="O107" s="16" t="n"/>
      <c r="P107" s="16" t="n"/>
    </row>
    <row r="108">
      <c r="A108" s="16" t="n"/>
      <c r="B108" s="18" t="n"/>
      <c r="C108" s="16" t="n"/>
      <c r="D108" s="19">
        <f>IF(C108="","",IFERROR(INDEX('Database Buyer'!$B$3:$B$202,MATCH(C108,'Database Buyer'!$A$3:$A$202,0)),"ID tidak ditemukan"))</f>
        <v/>
      </c>
      <c r="E108" s="19">
        <f>IF(C108="","",IFERROR(INDEX('Database Buyer'!$C$3:$C$202,MATCH(C108,'Database Buyer'!$A$3:$A$202,0)),""))</f>
        <v/>
      </c>
      <c r="F108" s="16" t="n"/>
      <c r="G108" s="16" t="n"/>
      <c r="H108" s="16" t="n"/>
      <c r="I108" s="16" t="n"/>
      <c r="J108" s="20">
        <f>IF(I108="","",I108*Panduan!$C$25)</f>
        <v/>
      </c>
      <c r="K108" s="21" t="n"/>
      <c r="L108" s="22">
        <f>IF(OR(J108="",K108=""),"",J108*K108)</f>
        <v/>
      </c>
      <c r="M108" s="23">
        <f>IF(L108="","",L108*Panduan!$C$24)</f>
        <v/>
      </c>
      <c r="N108" s="18" t="n"/>
      <c r="O108" s="16" t="n"/>
      <c r="P108" s="16" t="n"/>
    </row>
    <row r="109">
      <c r="A109" s="16" t="n"/>
      <c r="B109" s="18" t="n"/>
      <c r="C109" s="16" t="n"/>
      <c r="D109" s="19">
        <f>IF(C109="","",IFERROR(INDEX('Database Buyer'!$B$3:$B$202,MATCH(C109,'Database Buyer'!$A$3:$A$202,0)),"ID tidak ditemukan"))</f>
        <v/>
      </c>
      <c r="E109" s="19">
        <f>IF(C109="","",IFERROR(INDEX('Database Buyer'!$C$3:$C$202,MATCH(C109,'Database Buyer'!$A$3:$A$202,0)),""))</f>
        <v/>
      </c>
      <c r="F109" s="16" t="n"/>
      <c r="G109" s="16" t="n"/>
      <c r="H109" s="16" t="n"/>
      <c r="I109" s="16" t="n"/>
      <c r="J109" s="20">
        <f>IF(I109="","",I109*Panduan!$C$25)</f>
        <v/>
      </c>
      <c r="K109" s="21" t="n"/>
      <c r="L109" s="22">
        <f>IF(OR(J109="",K109=""),"",J109*K109)</f>
        <v/>
      </c>
      <c r="M109" s="23">
        <f>IF(L109="","",L109*Panduan!$C$24)</f>
        <v/>
      </c>
      <c r="N109" s="18" t="n"/>
      <c r="O109" s="16" t="n"/>
      <c r="P109" s="16" t="n"/>
    </row>
    <row r="110">
      <c r="A110" s="16" t="n"/>
      <c r="B110" s="18" t="n"/>
      <c r="C110" s="16" t="n"/>
      <c r="D110" s="19">
        <f>IF(C110="","",IFERROR(INDEX('Database Buyer'!$B$3:$B$202,MATCH(C110,'Database Buyer'!$A$3:$A$202,0)),"ID tidak ditemukan"))</f>
        <v/>
      </c>
      <c r="E110" s="19">
        <f>IF(C110="","",IFERROR(INDEX('Database Buyer'!$C$3:$C$202,MATCH(C110,'Database Buyer'!$A$3:$A$202,0)),""))</f>
        <v/>
      </c>
      <c r="F110" s="16" t="n"/>
      <c r="G110" s="16" t="n"/>
      <c r="H110" s="16" t="n"/>
      <c r="I110" s="16" t="n"/>
      <c r="J110" s="20">
        <f>IF(I110="","",I110*Panduan!$C$25)</f>
        <v/>
      </c>
      <c r="K110" s="21" t="n"/>
      <c r="L110" s="22">
        <f>IF(OR(J110="",K110=""),"",J110*K110)</f>
        <v/>
      </c>
      <c r="M110" s="23">
        <f>IF(L110="","",L110*Panduan!$C$24)</f>
        <v/>
      </c>
      <c r="N110" s="18" t="n"/>
      <c r="O110" s="16" t="n"/>
      <c r="P110" s="16" t="n"/>
    </row>
    <row r="111">
      <c r="A111" s="16" t="n"/>
      <c r="B111" s="18" t="n"/>
      <c r="C111" s="16" t="n"/>
      <c r="D111" s="19">
        <f>IF(C111="","",IFERROR(INDEX('Database Buyer'!$B$3:$B$202,MATCH(C111,'Database Buyer'!$A$3:$A$202,0)),"ID tidak ditemukan"))</f>
        <v/>
      </c>
      <c r="E111" s="19">
        <f>IF(C111="","",IFERROR(INDEX('Database Buyer'!$C$3:$C$202,MATCH(C111,'Database Buyer'!$A$3:$A$202,0)),""))</f>
        <v/>
      </c>
      <c r="F111" s="16" t="n"/>
      <c r="G111" s="16" t="n"/>
      <c r="H111" s="16" t="n"/>
      <c r="I111" s="16" t="n"/>
      <c r="J111" s="20">
        <f>IF(I111="","",I111*Panduan!$C$25)</f>
        <v/>
      </c>
      <c r="K111" s="21" t="n"/>
      <c r="L111" s="22">
        <f>IF(OR(J111="",K111=""),"",J111*K111)</f>
        <v/>
      </c>
      <c r="M111" s="23">
        <f>IF(L111="","",L111*Panduan!$C$24)</f>
        <v/>
      </c>
      <c r="N111" s="18" t="n"/>
      <c r="O111" s="16" t="n"/>
      <c r="P111" s="16" t="n"/>
    </row>
    <row r="112">
      <c r="A112" s="16" t="n"/>
      <c r="B112" s="18" t="n"/>
      <c r="C112" s="16" t="n"/>
      <c r="D112" s="19">
        <f>IF(C112="","",IFERROR(INDEX('Database Buyer'!$B$3:$B$202,MATCH(C112,'Database Buyer'!$A$3:$A$202,0)),"ID tidak ditemukan"))</f>
        <v/>
      </c>
      <c r="E112" s="19">
        <f>IF(C112="","",IFERROR(INDEX('Database Buyer'!$C$3:$C$202,MATCH(C112,'Database Buyer'!$A$3:$A$202,0)),""))</f>
        <v/>
      </c>
      <c r="F112" s="16" t="n"/>
      <c r="G112" s="16" t="n"/>
      <c r="H112" s="16" t="n"/>
      <c r="I112" s="16" t="n"/>
      <c r="J112" s="20">
        <f>IF(I112="","",I112*Panduan!$C$25)</f>
        <v/>
      </c>
      <c r="K112" s="21" t="n"/>
      <c r="L112" s="22">
        <f>IF(OR(J112="",K112=""),"",J112*K112)</f>
        <v/>
      </c>
      <c r="M112" s="23">
        <f>IF(L112="","",L112*Panduan!$C$24)</f>
        <v/>
      </c>
      <c r="N112" s="18" t="n"/>
      <c r="O112" s="16" t="n"/>
      <c r="P112" s="16" t="n"/>
    </row>
    <row r="113">
      <c r="A113" s="16" t="n"/>
      <c r="B113" s="18" t="n"/>
      <c r="C113" s="16" t="n"/>
      <c r="D113" s="19">
        <f>IF(C113="","",IFERROR(INDEX('Database Buyer'!$B$3:$B$202,MATCH(C113,'Database Buyer'!$A$3:$A$202,0)),"ID tidak ditemukan"))</f>
        <v/>
      </c>
      <c r="E113" s="19">
        <f>IF(C113="","",IFERROR(INDEX('Database Buyer'!$C$3:$C$202,MATCH(C113,'Database Buyer'!$A$3:$A$202,0)),""))</f>
        <v/>
      </c>
      <c r="F113" s="16" t="n"/>
      <c r="G113" s="16" t="n"/>
      <c r="H113" s="16" t="n"/>
      <c r="I113" s="16" t="n"/>
      <c r="J113" s="20">
        <f>IF(I113="","",I113*Panduan!$C$25)</f>
        <v/>
      </c>
      <c r="K113" s="21" t="n"/>
      <c r="L113" s="22">
        <f>IF(OR(J113="",K113=""),"",J113*K113)</f>
        <v/>
      </c>
      <c r="M113" s="23">
        <f>IF(L113="","",L113*Panduan!$C$24)</f>
        <v/>
      </c>
      <c r="N113" s="18" t="n"/>
      <c r="O113" s="16" t="n"/>
      <c r="P113" s="16" t="n"/>
    </row>
    <row r="114">
      <c r="A114" s="16" t="n"/>
      <c r="B114" s="18" t="n"/>
      <c r="C114" s="16" t="n"/>
      <c r="D114" s="19">
        <f>IF(C114="","",IFERROR(INDEX('Database Buyer'!$B$3:$B$202,MATCH(C114,'Database Buyer'!$A$3:$A$202,0)),"ID tidak ditemukan"))</f>
        <v/>
      </c>
      <c r="E114" s="19">
        <f>IF(C114="","",IFERROR(INDEX('Database Buyer'!$C$3:$C$202,MATCH(C114,'Database Buyer'!$A$3:$A$202,0)),""))</f>
        <v/>
      </c>
      <c r="F114" s="16" t="n"/>
      <c r="G114" s="16" t="n"/>
      <c r="H114" s="16" t="n"/>
      <c r="I114" s="16" t="n"/>
      <c r="J114" s="20">
        <f>IF(I114="","",I114*Panduan!$C$25)</f>
        <v/>
      </c>
      <c r="K114" s="21" t="n"/>
      <c r="L114" s="22">
        <f>IF(OR(J114="",K114=""),"",J114*K114)</f>
        <v/>
      </c>
      <c r="M114" s="23">
        <f>IF(L114="","",L114*Panduan!$C$24)</f>
        <v/>
      </c>
      <c r="N114" s="18" t="n"/>
      <c r="O114" s="16" t="n"/>
      <c r="P114" s="16" t="n"/>
    </row>
    <row r="115">
      <c r="A115" s="16" t="n"/>
      <c r="B115" s="18" t="n"/>
      <c r="C115" s="16" t="n"/>
      <c r="D115" s="19">
        <f>IF(C115="","",IFERROR(INDEX('Database Buyer'!$B$3:$B$202,MATCH(C115,'Database Buyer'!$A$3:$A$202,0)),"ID tidak ditemukan"))</f>
        <v/>
      </c>
      <c r="E115" s="19">
        <f>IF(C115="","",IFERROR(INDEX('Database Buyer'!$C$3:$C$202,MATCH(C115,'Database Buyer'!$A$3:$A$202,0)),""))</f>
        <v/>
      </c>
      <c r="F115" s="16" t="n"/>
      <c r="G115" s="16" t="n"/>
      <c r="H115" s="16" t="n"/>
      <c r="I115" s="16" t="n"/>
      <c r="J115" s="20">
        <f>IF(I115="","",I115*Panduan!$C$25)</f>
        <v/>
      </c>
      <c r="K115" s="21" t="n"/>
      <c r="L115" s="22">
        <f>IF(OR(J115="",K115=""),"",J115*K115)</f>
        <v/>
      </c>
      <c r="M115" s="23">
        <f>IF(L115="","",L115*Panduan!$C$24)</f>
        <v/>
      </c>
      <c r="N115" s="18" t="n"/>
      <c r="O115" s="16" t="n"/>
      <c r="P115" s="16" t="n"/>
    </row>
    <row r="116">
      <c r="A116" s="16" t="n"/>
      <c r="B116" s="18" t="n"/>
      <c r="C116" s="16" t="n"/>
      <c r="D116" s="19">
        <f>IF(C116="","",IFERROR(INDEX('Database Buyer'!$B$3:$B$202,MATCH(C116,'Database Buyer'!$A$3:$A$202,0)),"ID tidak ditemukan"))</f>
        <v/>
      </c>
      <c r="E116" s="19">
        <f>IF(C116="","",IFERROR(INDEX('Database Buyer'!$C$3:$C$202,MATCH(C116,'Database Buyer'!$A$3:$A$202,0)),""))</f>
        <v/>
      </c>
      <c r="F116" s="16" t="n"/>
      <c r="G116" s="16" t="n"/>
      <c r="H116" s="16" t="n"/>
      <c r="I116" s="16" t="n"/>
      <c r="J116" s="20">
        <f>IF(I116="","",I116*Panduan!$C$25)</f>
        <v/>
      </c>
      <c r="K116" s="21" t="n"/>
      <c r="L116" s="22">
        <f>IF(OR(J116="",K116=""),"",J116*K116)</f>
        <v/>
      </c>
      <c r="M116" s="23">
        <f>IF(L116="","",L116*Panduan!$C$24)</f>
        <v/>
      </c>
      <c r="N116" s="18" t="n"/>
      <c r="O116" s="16" t="n"/>
      <c r="P116" s="16" t="n"/>
    </row>
    <row r="117">
      <c r="A117" s="16" t="n"/>
      <c r="B117" s="18" t="n"/>
      <c r="C117" s="16" t="n"/>
      <c r="D117" s="19">
        <f>IF(C117="","",IFERROR(INDEX('Database Buyer'!$B$3:$B$202,MATCH(C117,'Database Buyer'!$A$3:$A$202,0)),"ID tidak ditemukan"))</f>
        <v/>
      </c>
      <c r="E117" s="19">
        <f>IF(C117="","",IFERROR(INDEX('Database Buyer'!$C$3:$C$202,MATCH(C117,'Database Buyer'!$A$3:$A$202,0)),""))</f>
        <v/>
      </c>
      <c r="F117" s="16" t="n"/>
      <c r="G117" s="16" t="n"/>
      <c r="H117" s="16" t="n"/>
      <c r="I117" s="16" t="n"/>
      <c r="J117" s="20">
        <f>IF(I117="","",I117*Panduan!$C$25)</f>
        <v/>
      </c>
      <c r="K117" s="21" t="n"/>
      <c r="L117" s="22">
        <f>IF(OR(J117="",K117=""),"",J117*K117)</f>
        <v/>
      </c>
      <c r="M117" s="23">
        <f>IF(L117="","",L117*Panduan!$C$24)</f>
        <v/>
      </c>
      <c r="N117" s="18" t="n"/>
      <c r="O117" s="16" t="n"/>
      <c r="P117" s="16" t="n"/>
    </row>
    <row r="118">
      <c r="A118" s="16" t="n"/>
      <c r="B118" s="18" t="n"/>
      <c r="C118" s="16" t="n"/>
      <c r="D118" s="19">
        <f>IF(C118="","",IFERROR(INDEX('Database Buyer'!$B$3:$B$202,MATCH(C118,'Database Buyer'!$A$3:$A$202,0)),"ID tidak ditemukan"))</f>
        <v/>
      </c>
      <c r="E118" s="19">
        <f>IF(C118="","",IFERROR(INDEX('Database Buyer'!$C$3:$C$202,MATCH(C118,'Database Buyer'!$A$3:$A$202,0)),""))</f>
        <v/>
      </c>
      <c r="F118" s="16" t="n"/>
      <c r="G118" s="16" t="n"/>
      <c r="H118" s="16" t="n"/>
      <c r="I118" s="16" t="n"/>
      <c r="J118" s="20">
        <f>IF(I118="","",I118*Panduan!$C$25)</f>
        <v/>
      </c>
      <c r="K118" s="21" t="n"/>
      <c r="L118" s="22">
        <f>IF(OR(J118="",K118=""),"",J118*K118)</f>
        <v/>
      </c>
      <c r="M118" s="23">
        <f>IF(L118="","",L118*Panduan!$C$24)</f>
        <v/>
      </c>
      <c r="N118" s="18" t="n"/>
      <c r="O118" s="16" t="n"/>
      <c r="P118" s="16" t="n"/>
    </row>
    <row r="119">
      <c r="A119" s="16" t="n"/>
      <c r="B119" s="18" t="n"/>
      <c r="C119" s="16" t="n"/>
      <c r="D119" s="19">
        <f>IF(C119="","",IFERROR(INDEX('Database Buyer'!$B$3:$B$202,MATCH(C119,'Database Buyer'!$A$3:$A$202,0)),"ID tidak ditemukan"))</f>
        <v/>
      </c>
      <c r="E119" s="19">
        <f>IF(C119="","",IFERROR(INDEX('Database Buyer'!$C$3:$C$202,MATCH(C119,'Database Buyer'!$A$3:$A$202,0)),""))</f>
        <v/>
      </c>
      <c r="F119" s="16" t="n"/>
      <c r="G119" s="16" t="n"/>
      <c r="H119" s="16" t="n"/>
      <c r="I119" s="16" t="n"/>
      <c r="J119" s="20">
        <f>IF(I119="","",I119*Panduan!$C$25)</f>
        <v/>
      </c>
      <c r="K119" s="21" t="n"/>
      <c r="L119" s="22">
        <f>IF(OR(J119="",K119=""),"",J119*K119)</f>
        <v/>
      </c>
      <c r="M119" s="23">
        <f>IF(L119="","",L119*Panduan!$C$24)</f>
        <v/>
      </c>
      <c r="N119" s="18" t="n"/>
      <c r="O119" s="16" t="n"/>
      <c r="P119" s="16" t="n"/>
    </row>
    <row r="120">
      <c r="A120" s="16" t="n"/>
      <c r="B120" s="18" t="n"/>
      <c r="C120" s="16" t="n"/>
      <c r="D120" s="19">
        <f>IF(C120="","",IFERROR(INDEX('Database Buyer'!$B$3:$B$202,MATCH(C120,'Database Buyer'!$A$3:$A$202,0)),"ID tidak ditemukan"))</f>
        <v/>
      </c>
      <c r="E120" s="19">
        <f>IF(C120="","",IFERROR(INDEX('Database Buyer'!$C$3:$C$202,MATCH(C120,'Database Buyer'!$A$3:$A$202,0)),""))</f>
        <v/>
      </c>
      <c r="F120" s="16" t="n"/>
      <c r="G120" s="16" t="n"/>
      <c r="H120" s="16" t="n"/>
      <c r="I120" s="16" t="n"/>
      <c r="J120" s="20">
        <f>IF(I120="","",I120*Panduan!$C$25)</f>
        <v/>
      </c>
      <c r="K120" s="21" t="n"/>
      <c r="L120" s="22">
        <f>IF(OR(J120="",K120=""),"",J120*K120)</f>
        <v/>
      </c>
      <c r="M120" s="23">
        <f>IF(L120="","",L120*Panduan!$C$24)</f>
        <v/>
      </c>
      <c r="N120" s="18" t="n"/>
      <c r="O120" s="16" t="n"/>
      <c r="P120" s="16" t="n"/>
    </row>
    <row r="121">
      <c r="A121" s="16" t="n"/>
      <c r="B121" s="18" t="n"/>
      <c r="C121" s="16" t="n"/>
      <c r="D121" s="19">
        <f>IF(C121="","",IFERROR(INDEX('Database Buyer'!$B$3:$B$202,MATCH(C121,'Database Buyer'!$A$3:$A$202,0)),"ID tidak ditemukan"))</f>
        <v/>
      </c>
      <c r="E121" s="19">
        <f>IF(C121="","",IFERROR(INDEX('Database Buyer'!$C$3:$C$202,MATCH(C121,'Database Buyer'!$A$3:$A$202,0)),""))</f>
        <v/>
      </c>
      <c r="F121" s="16" t="n"/>
      <c r="G121" s="16" t="n"/>
      <c r="H121" s="16" t="n"/>
      <c r="I121" s="16" t="n"/>
      <c r="J121" s="20">
        <f>IF(I121="","",I121*Panduan!$C$25)</f>
        <v/>
      </c>
      <c r="K121" s="21" t="n"/>
      <c r="L121" s="22">
        <f>IF(OR(J121="",K121=""),"",J121*K121)</f>
        <v/>
      </c>
      <c r="M121" s="23">
        <f>IF(L121="","",L121*Panduan!$C$24)</f>
        <v/>
      </c>
      <c r="N121" s="18" t="n"/>
      <c r="O121" s="16" t="n"/>
      <c r="P121" s="16" t="n"/>
    </row>
    <row r="122">
      <c r="A122" s="16" t="n"/>
      <c r="B122" s="18" t="n"/>
      <c r="C122" s="16" t="n"/>
      <c r="D122" s="19">
        <f>IF(C122="","",IFERROR(INDEX('Database Buyer'!$B$3:$B$202,MATCH(C122,'Database Buyer'!$A$3:$A$202,0)),"ID tidak ditemukan"))</f>
        <v/>
      </c>
      <c r="E122" s="19">
        <f>IF(C122="","",IFERROR(INDEX('Database Buyer'!$C$3:$C$202,MATCH(C122,'Database Buyer'!$A$3:$A$202,0)),""))</f>
        <v/>
      </c>
      <c r="F122" s="16" t="n"/>
      <c r="G122" s="16" t="n"/>
      <c r="H122" s="16" t="n"/>
      <c r="I122" s="16" t="n"/>
      <c r="J122" s="20">
        <f>IF(I122="","",I122*Panduan!$C$25)</f>
        <v/>
      </c>
      <c r="K122" s="21" t="n"/>
      <c r="L122" s="22">
        <f>IF(OR(J122="",K122=""),"",J122*K122)</f>
        <v/>
      </c>
      <c r="M122" s="23">
        <f>IF(L122="","",L122*Panduan!$C$24)</f>
        <v/>
      </c>
      <c r="N122" s="18" t="n"/>
      <c r="O122" s="16" t="n"/>
      <c r="P122" s="16" t="n"/>
    </row>
    <row r="123">
      <c r="A123" s="16" t="n"/>
      <c r="B123" s="18" t="n"/>
      <c r="C123" s="16" t="n"/>
      <c r="D123" s="19">
        <f>IF(C123="","",IFERROR(INDEX('Database Buyer'!$B$3:$B$202,MATCH(C123,'Database Buyer'!$A$3:$A$202,0)),"ID tidak ditemukan"))</f>
        <v/>
      </c>
      <c r="E123" s="19">
        <f>IF(C123="","",IFERROR(INDEX('Database Buyer'!$C$3:$C$202,MATCH(C123,'Database Buyer'!$A$3:$A$202,0)),""))</f>
        <v/>
      </c>
      <c r="F123" s="16" t="n"/>
      <c r="G123" s="16" t="n"/>
      <c r="H123" s="16" t="n"/>
      <c r="I123" s="16" t="n"/>
      <c r="J123" s="20">
        <f>IF(I123="","",I123*Panduan!$C$25)</f>
        <v/>
      </c>
      <c r="K123" s="21" t="n"/>
      <c r="L123" s="22">
        <f>IF(OR(J123="",K123=""),"",J123*K123)</f>
        <v/>
      </c>
      <c r="M123" s="23">
        <f>IF(L123="","",L123*Panduan!$C$24)</f>
        <v/>
      </c>
      <c r="N123" s="18" t="n"/>
      <c r="O123" s="16" t="n"/>
      <c r="P123" s="16" t="n"/>
    </row>
    <row r="124">
      <c r="A124" s="16" t="n"/>
      <c r="B124" s="18" t="n"/>
      <c r="C124" s="16" t="n"/>
      <c r="D124" s="19">
        <f>IF(C124="","",IFERROR(INDEX('Database Buyer'!$B$3:$B$202,MATCH(C124,'Database Buyer'!$A$3:$A$202,0)),"ID tidak ditemukan"))</f>
        <v/>
      </c>
      <c r="E124" s="19">
        <f>IF(C124="","",IFERROR(INDEX('Database Buyer'!$C$3:$C$202,MATCH(C124,'Database Buyer'!$A$3:$A$202,0)),""))</f>
        <v/>
      </c>
      <c r="F124" s="16" t="n"/>
      <c r="G124" s="16" t="n"/>
      <c r="H124" s="16" t="n"/>
      <c r="I124" s="16" t="n"/>
      <c r="J124" s="20">
        <f>IF(I124="","",I124*Panduan!$C$25)</f>
        <v/>
      </c>
      <c r="K124" s="21" t="n"/>
      <c r="L124" s="22">
        <f>IF(OR(J124="",K124=""),"",J124*K124)</f>
        <v/>
      </c>
      <c r="M124" s="23">
        <f>IF(L124="","",L124*Panduan!$C$24)</f>
        <v/>
      </c>
      <c r="N124" s="18" t="n"/>
      <c r="O124" s="16" t="n"/>
      <c r="P124" s="16" t="n"/>
    </row>
    <row r="125">
      <c r="A125" s="16" t="n"/>
      <c r="B125" s="18" t="n"/>
      <c r="C125" s="16" t="n"/>
      <c r="D125" s="19">
        <f>IF(C125="","",IFERROR(INDEX('Database Buyer'!$B$3:$B$202,MATCH(C125,'Database Buyer'!$A$3:$A$202,0)),"ID tidak ditemukan"))</f>
        <v/>
      </c>
      <c r="E125" s="19">
        <f>IF(C125="","",IFERROR(INDEX('Database Buyer'!$C$3:$C$202,MATCH(C125,'Database Buyer'!$A$3:$A$202,0)),""))</f>
        <v/>
      </c>
      <c r="F125" s="16" t="n"/>
      <c r="G125" s="16" t="n"/>
      <c r="H125" s="16" t="n"/>
      <c r="I125" s="16" t="n"/>
      <c r="J125" s="20">
        <f>IF(I125="","",I125*Panduan!$C$25)</f>
        <v/>
      </c>
      <c r="K125" s="21" t="n"/>
      <c r="L125" s="22">
        <f>IF(OR(J125="",K125=""),"",J125*K125)</f>
        <v/>
      </c>
      <c r="M125" s="23">
        <f>IF(L125="","",L125*Panduan!$C$24)</f>
        <v/>
      </c>
      <c r="N125" s="18" t="n"/>
      <c r="O125" s="16" t="n"/>
      <c r="P125" s="16" t="n"/>
    </row>
    <row r="126">
      <c r="A126" s="16" t="n"/>
      <c r="B126" s="18" t="n"/>
      <c r="C126" s="16" t="n"/>
      <c r="D126" s="19">
        <f>IF(C126="","",IFERROR(INDEX('Database Buyer'!$B$3:$B$202,MATCH(C126,'Database Buyer'!$A$3:$A$202,0)),"ID tidak ditemukan"))</f>
        <v/>
      </c>
      <c r="E126" s="19">
        <f>IF(C126="","",IFERROR(INDEX('Database Buyer'!$C$3:$C$202,MATCH(C126,'Database Buyer'!$A$3:$A$202,0)),""))</f>
        <v/>
      </c>
      <c r="F126" s="16" t="n"/>
      <c r="G126" s="16" t="n"/>
      <c r="H126" s="16" t="n"/>
      <c r="I126" s="16" t="n"/>
      <c r="J126" s="20">
        <f>IF(I126="","",I126*Panduan!$C$25)</f>
        <v/>
      </c>
      <c r="K126" s="21" t="n"/>
      <c r="L126" s="22">
        <f>IF(OR(J126="",K126=""),"",J126*K126)</f>
        <v/>
      </c>
      <c r="M126" s="23">
        <f>IF(L126="","",L126*Panduan!$C$24)</f>
        <v/>
      </c>
      <c r="N126" s="18" t="n"/>
      <c r="O126" s="16" t="n"/>
      <c r="P126" s="16" t="n"/>
    </row>
    <row r="127">
      <c r="A127" s="16" t="n"/>
      <c r="B127" s="18" t="n"/>
      <c r="C127" s="16" t="n"/>
      <c r="D127" s="19">
        <f>IF(C127="","",IFERROR(INDEX('Database Buyer'!$B$3:$B$202,MATCH(C127,'Database Buyer'!$A$3:$A$202,0)),"ID tidak ditemukan"))</f>
        <v/>
      </c>
      <c r="E127" s="19">
        <f>IF(C127="","",IFERROR(INDEX('Database Buyer'!$C$3:$C$202,MATCH(C127,'Database Buyer'!$A$3:$A$202,0)),""))</f>
        <v/>
      </c>
      <c r="F127" s="16" t="n"/>
      <c r="G127" s="16" t="n"/>
      <c r="H127" s="16" t="n"/>
      <c r="I127" s="16" t="n"/>
      <c r="J127" s="20">
        <f>IF(I127="","",I127*Panduan!$C$25)</f>
        <v/>
      </c>
      <c r="K127" s="21" t="n"/>
      <c r="L127" s="22">
        <f>IF(OR(J127="",K127=""),"",J127*K127)</f>
        <v/>
      </c>
      <c r="M127" s="23">
        <f>IF(L127="","",L127*Panduan!$C$24)</f>
        <v/>
      </c>
      <c r="N127" s="18" t="n"/>
      <c r="O127" s="16" t="n"/>
      <c r="P127" s="16" t="n"/>
    </row>
    <row r="128">
      <c r="A128" s="16" t="n"/>
      <c r="B128" s="18" t="n"/>
      <c r="C128" s="16" t="n"/>
      <c r="D128" s="19">
        <f>IF(C128="","",IFERROR(INDEX('Database Buyer'!$B$3:$B$202,MATCH(C128,'Database Buyer'!$A$3:$A$202,0)),"ID tidak ditemukan"))</f>
        <v/>
      </c>
      <c r="E128" s="19">
        <f>IF(C128="","",IFERROR(INDEX('Database Buyer'!$C$3:$C$202,MATCH(C128,'Database Buyer'!$A$3:$A$202,0)),""))</f>
        <v/>
      </c>
      <c r="F128" s="16" t="n"/>
      <c r="G128" s="16" t="n"/>
      <c r="H128" s="16" t="n"/>
      <c r="I128" s="16" t="n"/>
      <c r="J128" s="20">
        <f>IF(I128="","",I128*Panduan!$C$25)</f>
        <v/>
      </c>
      <c r="K128" s="21" t="n"/>
      <c r="L128" s="22">
        <f>IF(OR(J128="",K128=""),"",J128*K128)</f>
        <v/>
      </c>
      <c r="M128" s="23">
        <f>IF(L128="","",L128*Panduan!$C$24)</f>
        <v/>
      </c>
      <c r="N128" s="18" t="n"/>
      <c r="O128" s="16" t="n"/>
      <c r="P128" s="16" t="n"/>
    </row>
    <row r="129">
      <c r="A129" s="16" t="n"/>
      <c r="B129" s="18" t="n"/>
      <c r="C129" s="16" t="n"/>
      <c r="D129" s="19">
        <f>IF(C129="","",IFERROR(INDEX('Database Buyer'!$B$3:$B$202,MATCH(C129,'Database Buyer'!$A$3:$A$202,0)),"ID tidak ditemukan"))</f>
        <v/>
      </c>
      <c r="E129" s="19">
        <f>IF(C129="","",IFERROR(INDEX('Database Buyer'!$C$3:$C$202,MATCH(C129,'Database Buyer'!$A$3:$A$202,0)),""))</f>
        <v/>
      </c>
      <c r="F129" s="16" t="n"/>
      <c r="G129" s="16" t="n"/>
      <c r="H129" s="16" t="n"/>
      <c r="I129" s="16" t="n"/>
      <c r="J129" s="20">
        <f>IF(I129="","",I129*Panduan!$C$25)</f>
        <v/>
      </c>
      <c r="K129" s="21" t="n"/>
      <c r="L129" s="22">
        <f>IF(OR(J129="",K129=""),"",J129*K129)</f>
        <v/>
      </c>
      <c r="M129" s="23">
        <f>IF(L129="","",L129*Panduan!$C$24)</f>
        <v/>
      </c>
      <c r="N129" s="18" t="n"/>
      <c r="O129" s="16" t="n"/>
      <c r="P129" s="16" t="n"/>
    </row>
    <row r="130">
      <c r="A130" s="16" t="n"/>
      <c r="B130" s="18" t="n"/>
      <c r="C130" s="16" t="n"/>
      <c r="D130" s="19">
        <f>IF(C130="","",IFERROR(INDEX('Database Buyer'!$B$3:$B$202,MATCH(C130,'Database Buyer'!$A$3:$A$202,0)),"ID tidak ditemukan"))</f>
        <v/>
      </c>
      <c r="E130" s="19">
        <f>IF(C130="","",IFERROR(INDEX('Database Buyer'!$C$3:$C$202,MATCH(C130,'Database Buyer'!$A$3:$A$202,0)),""))</f>
        <v/>
      </c>
      <c r="F130" s="16" t="n"/>
      <c r="G130" s="16" t="n"/>
      <c r="H130" s="16" t="n"/>
      <c r="I130" s="16" t="n"/>
      <c r="J130" s="20">
        <f>IF(I130="","",I130*Panduan!$C$25)</f>
        <v/>
      </c>
      <c r="K130" s="21" t="n"/>
      <c r="L130" s="22">
        <f>IF(OR(J130="",K130=""),"",J130*K130)</f>
        <v/>
      </c>
      <c r="M130" s="23">
        <f>IF(L130="","",L130*Panduan!$C$24)</f>
        <v/>
      </c>
      <c r="N130" s="18" t="n"/>
      <c r="O130" s="16" t="n"/>
      <c r="P130" s="16" t="n"/>
    </row>
    <row r="131">
      <c r="A131" s="16" t="n"/>
      <c r="B131" s="18" t="n"/>
      <c r="C131" s="16" t="n"/>
      <c r="D131" s="19">
        <f>IF(C131="","",IFERROR(INDEX('Database Buyer'!$B$3:$B$202,MATCH(C131,'Database Buyer'!$A$3:$A$202,0)),"ID tidak ditemukan"))</f>
        <v/>
      </c>
      <c r="E131" s="19">
        <f>IF(C131="","",IFERROR(INDEX('Database Buyer'!$C$3:$C$202,MATCH(C131,'Database Buyer'!$A$3:$A$202,0)),""))</f>
        <v/>
      </c>
      <c r="F131" s="16" t="n"/>
      <c r="G131" s="16" t="n"/>
      <c r="H131" s="16" t="n"/>
      <c r="I131" s="16" t="n"/>
      <c r="J131" s="20">
        <f>IF(I131="","",I131*Panduan!$C$25)</f>
        <v/>
      </c>
      <c r="K131" s="21" t="n"/>
      <c r="L131" s="22">
        <f>IF(OR(J131="",K131=""),"",J131*K131)</f>
        <v/>
      </c>
      <c r="M131" s="23">
        <f>IF(L131="","",L131*Panduan!$C$24)</f>
        <v/>
      </c>
      <c r="N131" s="18" t="n"/>
      <c r="O131" s="16" t="n"/>
      <c r="P131" s="16" t="n"/>
    </row>
    <row r="132">
      <c r="A132" s="16" t="n"/>
      <c r="B132" s="18" t="n"/>
      <c r="C132" s="16" t="n"/>
      <c r="D132" s="19">
        <f>IF(C132="","",IFERROR(INDEX('Database Buyer'!$B$3:$B$202,MATCH(C132,'Database Buyer'!$A$3:$A$202,0)),"ID tidak ditemukan"))</f>
        <v/>
      </c>
      <c r="E132" s="19">
        <f>IF(C132="","",IFERROR(INDEX('Database Buyer'!$C$3:$C$202,MATCH(C132,'Database Buyer'!$A$3:$A$202,0)),""))</f>
        <v/>
      </c>
      <c r="F132" s="16" t="n"/>
      <c r="G132" s="16" t="n"/>
      <c r="H132" s="16" t="n"/>
      <c r="I132" s="16" t="n"/>
      <c r="J132" s="20">
        <f>IF(I132="","",I132*Panduan!$C$25)</f>
        <v/>
      </c>
      <c r="K132" s="21" t="n"/>
      <c r="L132" s="22">
        <f>IF(OR(J132="",K132=""),"",J132*K132)</f>
        <v/>
      </c>
      <c r="M132" s="23">
        <f>IF(L132="","",L132*Panduan!$C$24)</f>
        <v/>
      </c>
      <c r="N132" s="18" t="n"/>
      <c r="O132" s="16" t="n"/>
      <c r="P132" s="16" t="n"/>
    </row>
    <row r="133">
      <c r="A133" s="16" t="n"/>
      <c r="B133" s="18" t="n"/>
      <c r="C133" s="16" t="n"/>
      <c r="D133" s="19">
        <f>IF(C133="","",IFERROR(INDEX('Database Buyer'!$B$3:$B$202,MATCH(C133,'Database Buyer'!$A$3:$A$202,0)),"ID tidak ditemukan"))</f>
        <v/>
      </c>
      <c r="E133" s="19">
        <f>IF(C133="","",IFERROR(INDEX('Database Buyer'!$C$3:$C$202,MATCH(C133,'Database Buyer'!$A$3:$A$202,0)),""))</f>
        <v/>
      </c>
      <c r="F133" s="16" t="n"/>
      <c r="G133" s="16" t="n"/>
      <c r="H133" s="16" t="n"/>
      <c r="I133" s="16" t="n"/>
      <c r="J133" s="20">
        <f>IF(I133="","",I133*Panduan!$C$25)</f>
        <v/>
      </c>
      <c r="K133" s="21" t="n"/>
      <c r="L133" s="22">
        <f>IF(OR(J133="",K133=""),"",J133*K133)</f>
        <v/>
      </c>
      <c r="M133" s="23">
        <f>IF(L133="","",L133*Panduan!$C$24)</f>
        <v/>
      </c>
      <c r="N133" s="18" t="n"/>
      <c r="O133" s="16" t="n"/>
      <c r="P133" s="16" t="n"/>
    </row>
    <row r="134">
      <c r="A134" s="16" t="n"/>
      <c r="B134" s="18" t="n"/>
      <c r="C134" s="16" t="n"/>
      <c r="D134" s="19">
        <f>IF(C134="","",IFERROR(INDEX('Database Buyer'!$B$3:$B$202,MATCH(C134,'Database Buyer'!$A$3:$A$202,0)),"ID tidak ditemukan"))</f>
        <v/>
      </c>
      <c r="E134" s="19">
        <f>IF(C134="","",IFERROR(INDEX('Database Buyer'!$C$3:$C$202,MATCH(C134,'Database Buyer'!$A$3:$A$202,0)),""))</f>
        <v/>
      </c>
      <c r="F134" s="16" t="n"/>
      <c r="G134" s="16" t="n"/>
      <c r="H134" s="16" t="n"/>
      <c r="I134" s="16" t="n"/>
      <c r="J134" s="20">
        <f>IF(I134="","",I134*Panduan!$C$25)</f>
        <v/>
      </c>
      <c r="K134" s="21" t="n"/>
      <c r="L134" s="22">
        <f>IF(OR(J134="",K134=""),"",J134*K134)</f>
        <v/>
      </c>
      <c r="M134" s="23">
        <f>IF(L134="","",L134*Panduan!$C$24)</f>
        <v/>
      </c>
      <c r="N134" s="18" t="n"/>
      <c r="O134" s="16" t="n"/>
      <c r="P134" s="16" t="n"/>
    </row>
    <row r="135">
      <c r="A135" s="16" t="n"/>
      <c r="B135" s="18" t="n"/>
      <c r="C135" s="16" t="n"/>
      <c r="D135" s="19">
        <f>IF(C135="","",IFERROR(INDEX('Database Buyer'!$B$3:$B$202,MATCH(C135,'Database Buyer'!$A$3:$A$202,0)),"ID tidak ditemukan"))</f>
        <v/>
      </c>
      <c r="E135" s="19">
        <f>IF(C135="","",IFERROR(INDEX('Database Buyer'!$C$3:$C$202,MATCH(C135,'Database Buyer'!$A$3:$A$202,0)),""))</f>
        <v/>
      </c>
      <c r="F135" s="16" t="n"/>
      <c r="G135" s="16" t="n"/>
      <c r="H135" s="16" t="n"/>
      <c r="I135" s="16" t="n"/>
      <c r="J135" s="20">
        <f>IF(I135="","",I135*Panduan!$C$25)</f>
        <v/>
      </c>
      <c r="K135" s="21" t="n"/>
      <c r="L135" s="22">
        <f>IF(OR(J135="",K135=""),"",J135*K135)</f>
        <v/>
      </c>
      <c r="M135" s="23">
        <f>IF(L135="","",L135*Panduan!$C$24)</f>
        <v/>
      </c>
      <c r="N135" s="18" t="n"/>
      <c r="O135" s="16" t="n"/>
      <c r="P135" s="16" t="n"/>
    </row>
    <row r="136">
      <c r="A136" s="16" t="n"/>
      <c r="B136" s="18" t="n"/>
      <c r="C136" s="16" t="n"/>
      <c r="D136" s="19">
        <f>IF(C136="","",IFERROR(INDEX('Database Buyer'!$B$3:$B$202,MATCH(C136,'Database Buyer'!$A$3:$A$202,0)),"ID tidak ditemukan"))</f>
        <v/>
      </c>
      <c r="E136" s="19">
        <f>IF(C136="","",IFERROR(INDEX('Database Buyer'!$C$3:$C$202,MATCH(C136,'Database Buyer'!$A$3:$A$202,0)),""))</f>
        <v/>
      </c>
      <c r="F136" s="16" t="n"/>
      <c r="G136" s="16" t="n"/>
      <c r="H136" s="16" t="n"/>
      <c r="I136" s="16" t="n"/>
      <c r="J136" s="20">
        <f>IF(I136="","",I136*Panduan!$C$25)</f>
        <v/>
      </c>
      <c r="K136" s="21" t="n"/>
      <c r="L136" s="22">
        <f>IF(OR(J136="",K136=""),"",J136*K136)</f>
        <v/>
      </c>
      <c r="M136" s="23">
        <f>IF(L136="","",L136*Panduan!$C$24)</f>
        <v/>
      </c>
      <c r="N136" s="18" t="n"/>
      <c r="O136" s="16" t="n"/>
      <c r="P136" s="16" t="n"/>
    </row>
    <row r="137">
      <c r="A137" s="16" t="n"/>
      <c r="B137" s="18" t="n"/>
      <c r="C137" s="16" t="n"/>
      <c r="D137" s="19">
        <f>IF(C137="","",IFERROR(INDEX('Database Buyer'!$B$3:$B$202,MATCH(C137,'Database Buyer'!$A$3:$A$202,0)),"ID tidak ditemukan"))</f>
        <v/>
      </c>
      <c r="E137" s="19">
        <f>IF(C137="","",IFERROR(INDEX('Database Buyer'!$C$3:$C$202,MATCH(C137,'Database Buyer'!$A$3:$A$202,0)),""))</f>
        <v/>
      </c>
      <c r="F137" s="16" t="n"/>
      <c r="G137" s="16" t="n"/>
      <c r="H137" s="16" t="n"/>
      <c r="I137" s="16" t="n"/>
      <c r="J137" s="20">
        <f>IF(I137="","",I137*Panduan!$C$25)</f>
        <v/>
      </c>
      <c r="K137" s="21" t="n"/>
      <c r="L137" s="22">
        <f>IF(OR(J137="",K137=""),"",J137*K137)</f>
        <v/>
      </c>
      <c r="M137" s="23">
        <f>IF(L137="","",L137*Panduan!$C$24)</f>
        <v/>
      </c>
      <c r="N137" s="18" t="n"/>
      <c r="O137" s="16" t="n"/>
      <c r="P137" s="16" t="n"/>
    </row>
    <row r="138">
      <c r="A138" s="16" t="n"/>
      <c r="B138" s="18" t="n"/>
      <c r="C138" s="16" t="n"/>
      <c r="D138" s="19">
        <f>IF(C138="","",IFERROR(INDEX('Database Buyer'!$B$3:$B$202,MATCH(C138,'Database Buyer'!$A$3:$A$202,0)),"ID tidak ditemukan"))</f>
        <v/>
      </c>
      <c r="E138" s="19">
        <f>IF(C138="","",IFERROR(INDEX('Database Buyer'!$C$3:$C$202,MATCH(C138,'Database Buyer'!$A$3:$A$202,0)),""))</f>
        <v/>
      </c>
      <c r="F138" s="16" t="n"/>
      <c r="G138" s="16" t="n"/>
      <c r="H138" s="16" t="n"/>
      <c r="I138" s="16" t="n"/>
      <c r="J138" s="20">
        <f>IF(I138="","",I138*Panduan!$C$25)</f>
        <v/>
      </c>
      <c r="K138" s="21" t="n"/>
      <c r="L138" s="22">
        <f>IF(OR(J138="",K138=""),"",J138*K138)</f>
        <v/>
      </c>
      <c r="M138" s="23">
        <f>IF(L138="","",L138*Panduan!$C$24)</f>
        <v/>
      </c>
      <c r="N138" s="18" t="n"/>
      <c r="O138" s="16" t="n"/>
      <c r="P138" s="16" t="n"/>
    </row>
    <row r="139">
      <c r="A139" s="16" t="n"/>
      <c r="B139" s="18" t="n"/>
      <c r="C139" s="16" t="n"/>
      <c r="D139" s="19">
        <f>IF(C139="","",IFERROR(INDEX('Database Buyer'!$B$3:$B$202,MATCH(C139,'Database Buyer'!$A$3:$A$202,0)),"ID tidak ditemukan"))</f>
        <v/>
      </c>
      <c r="E139" s="19">
        <f>IF(C139="","",IFERROR(INDEX('Database Buyer'!$C$3:$C$202,MATCH(C139,'Database Buyer'!$A$3:$A$202,0)),""))</f>
        <v/>
      </c>
      <c r="F139" s="16" t="n"/>
      <c r="G139" s="16" t="n"/>
      <c r="H139" s="16" t="n"/>
      <c r="I139" s="16" t="n"/>
      <c r="J139" s="20">
        <f>IF(I139="","",I139*Panduan!$C$25)</f>
        <v/>
      </c>
      <c r="K139" s="21" t="n"/>
      <c r="L139" s="22">
        <f>IF(OR(J139="",K139=""),"",J139*K139)</f>
        <v/>
      </c>
      <c r="M139" s="23">
        <f>IF(L139="","",L139*Panduan!$C$24)</f>
        <v/>
      </c>
      <c r="N139" s="18" t="n"/>
      <c r="O139" s="16" t="n"/>
      <c r="P139" s="16" t="n"/>
    </row>
    <row r="140">
      <c r="A140" s="16" t="n"/>
      <c r="B140" s="18" t="n"/>
      <c r="C140" s="16" t="n"/>
      <c r="D140" s="19">
        <f>IF(C140="","",IFERROR(INDEX('Database Buyer'!$B$3:$B$202,MATCH(C140,'Database Buyer'!$A$3:$A$202,0)),"ID tidak ditemukan"))</f>
        <v/>
      </c>
      <c r="E140" s="19">
        <f>IF(C140="","",IFERROR(INDEX('Database Buyer'!$C$3:$C$202,MATCH(C140,'Database Buyer'!$A$3:$A$202,0)),""))</f>
        <v/>
      </c>
      <c r="F140" s="16" t="n"/>
      <c r="G140" s="16" t="n"/>
      <c r="H140" s="16" t="n"/>
      <c r="I140" s="16" t="n"/>
      <c r="J140" s="20">
        <f>IF(I140="","",I140*Panduan!$C$25)</f>
        <v/>
      </c>
      <c r="K140" s="21" t="n"/>
      <c r="L140" s="22">
        <f>IF(OR(J140="",K140=""),"",J140*K140)</f>
        <v/>
      </c>
      <c r="M140" s="23">
        <f>IF(L140="","",L140*Panduan!$C$24)</f>
        <v/>
      </c>
      <c r="N140" s="18" t="n"/>
      <c r="O140" s="16" t="n"/>
      <c r="P140" s="16" t="n"/>
    </row>
    <row r="141">
      <c r="A141" s="16" t="n"/>
      <c r="B141" s="18" t="n"/>
      <c r="C141" s="16" t="n"/>
      <c r="D141" s="19">
        <f>IF(C141="","",IFERROR(INDEX('Database Buyer'!$B$3:$B$202,MATCH(C141,'Database Buyer'!$A$3:$A$202,0)),"ID tidak ditemukan"))</f>
        <v/>
      </c>
      <c r="E141" s="19">
        <f>IF(C141="","",IFERROR(INDEX('Database Buyer'!$C$3:$C$202,MATCH(C141,'Database Buyer'!$A$3:$A$202,0)),""))</f>
        <v/>
      </c>
      <c r="F141" s="16" t="n"/>
      <c r="G141" s="16" t="n"/>
      <c r="H141" s="16" t="n"/>
      <c r="I141" s="16" t="n"/>
      <c r="J141" s="20">
        <f>IF(I141="","",I141*Panduan!$C$25)</f>
        <v/>
      </c>
      <c r="K141" s="21" t="n"/>
      <c r="L141" s="22">
        <f>IF(OR(J141="",K141=""),"",J141*K141)</f>
        <v/>
      </c>
      <c r="M141" s="23">
        <f>IF(L141="","",L141*Panduan!$C$24)</f>
        <v/>
      </c>
      <c r="N141" s="18" t="n"/>
      <c r="O141" s="16" t="n"/>
      <c r="P141" s="16" t="n"/>
    </row>
    <row r="142">
      <c r="A142" s="16" t="n"/>
      <c r="B142" s="18" t="n"/>
      <c r="C142" s="16" t="n"/>
      <c r="D142" s="19">
        <f>IF(C142="","",IFERROR(INDEX('Database Buyer'!$B$3:$B$202,MATCH(C142,'Database Buyer'!$A$3:$A$202,0)),"ID tidak ditemukan"))</f>
        <v/>
      </c>
      <c r="E142" s="19">
        <f>IF(C142="","",IFERROR(INDEX('Database Buyer'!$C$3:$C$202,MATCH(C142,'Database Buyer'!$A$3:$A$202,0)),""))</f>
        <v/>
      </c>
      <c r="F142" s="16" t="n"/>
      <c r="G142" s="16" t="n"/>
      <c r="H142" s="16" t="n"/>
      <c r="I142" s="16" t="n"/>
      <c r="J142" s="20">
        <f>IF(I142="","",I142*Panduan!$C$25)</f>
        <v/>
      </c>
      <c r="K142" s="21" t="n"/>
      <c r="L142" s="22">
        <f>IF(OR(J142="",K142=""),"",J142*K142)</f>
        <v/>
      </c>
      <c r="M142" s="23">
        <f>IF(L142="","",L142*Panduan!$C$24)</f>
        <v/>
      </c>
      <c r="N142" s="18" t="n"/>
      <c r="O142" s="16" t="n"/>
      <c r="P142" s="16" t="n"/>
    </row>
    <row r="143">
      <c r="A143" s="16" t="n"/>
      <c r="B143" s="18" t="n"/>
      <c r="C143" s="16" t="n"/>
      <c r="D143" s="19">
        <f>IF(C143="","",IFERROR(INDEX('Database Buyer'!$B$3:$B$202,MATCH(C143,'Database Buyer'!$A$3:$A$202,0)),"ID tidak ditemukan"))</f>
        <v/>
      </c>
      <c r="E143" s="19">
        <f>IF(C143="","",IFERROR(INDEX('Database Buyer'!$C$3:$C$202,MATCH(C143,'Database Buyer'!$A$3:$A$202,0)),""))</f>
        <v/>
      </c>
      <c r="F143" s="16" t="n"/>
      <c r="G143" s="16" t="n"/>
      <c r="H143" s="16" t="n"/>
      <c r="I143" s="16" t="n"/>
      <c r="J143" s="20">
        <f>IF(I143="","",I143*Panduan!$C$25)</f>
        <v/>
      </c>
      <c r="K143" s="21" t="n"/>
      <c r="L143" s="22">
        <f>IF(OR(J143="",K143=""),"",J143*K143)</f>
        <v/>
      </c>
      <c r="M143" s="23">
        <f>IF(L143="","",L143*Panduan!$C$24)</f>
        <v/>
      </c>
      <c r="N143" s="18" t="n"/>
      <c r="O143" s="16" t="n"/>
      <c r="P143" s="16" t="n"/>
    </row>
    <row r="144">
      <c r="A144" s="16" t="n"/>
      <c r="B144" s="18" t="n"/>
      <c r="C144" s="16" t="n"/>
      <c r="D144" s="19">
        <f>IF(C144="","",IFERROR(INDEX('Database Buyer'!$B$3:$B$202,MATCH(C144,'Database Buyer'!$A$3:$A$202,0)),"ID tidak ditemukan"))</f>
        <v/>
      </c>
      <c r="E144" s="19">
        <f>IF(C144="","",IFERROR(INDEX('Database Buyer'!$C$3:$C$202,MATCH(C144,'Database Buyer'!$A$3:$A$202,0)),""))</f>
        <v/>
      </c>
      <c r="F144" s="16" t="n"/>
      <c r="G144" s="16" t="n"/>
      <c r="H144" s="16" t="n"/>
      <c r="I144" s="16" t="n"/>
      <c r="J144" s="20">
        <f>IF(I144="","",I144*Panduan!$C$25)</f>
        <v/>
      </c>
      <c r="K144" s="21" t="n"/>
      <c r="L144" s="22">
        <f>IF(OR(J144="",K144=""),"",J144*K144)</f>
        <v/>
      </c>
      <c r="M144" s="23">
        <f>IF(L144="","",L144*Panduan!$C$24)</f>
        <v/>
      </c>
      <c r="N144" s="18" t="n"/>
      <c r="O144" s="16" t="n"/>
      <c r="P144" s="16" t="n"/>
    </row>
    <row r="145">
      <c r="A145" s="16" t="n"/>
      <c r="B145" s="18" t="n"/>
      <c r="C145" s="16" t="n"/>
      <c r="D145" s="19">
        <f>IF(C145="","",IFERROR(INDEX('Database Buyer'!$B$3:$B$202,MATCH(C145,'Database Buyer'!$A$3:$A$202,0)),"ID tidak ditemukan"))</f>
        <v/>
      </c>
      <c r="E145" s="19">
        <f>IF(C145="","",IFERROR(INDEX('Database Buyer'!$C$3:$C$202,MATCH(C145,'Database Buyer'!$A$3:$A$202,0)),""))</f>
        <v/>
      </c>
      <c r="F145" s="16" t="n"/>
      <c r="G145" s="16" t="n"/>
      <c r="H145" s="16" t="n"/>
      <c r="I145" s="16" t="n"/>
      <c r="J145" s="20">
        <f>IF(I145="","",I145*Panduan!$C$25)</f>
        <v/>
      </c>
      <c r="K145" s="21" t="n"/>
      <c r="L145" s="22">
        <f>IF(OR(J145="",K145=""),"",J145*K145)</f>
        <v/>
      </c>
      <c r="M145" s="23">
        <f>IF(L145="","",L145*Panduan!$C$24)</f>
        <v/>
      </c>
      <c r="N145" s="18" t="n"/>
      <c r="O145" s="16" t="n"/>
      <c r="P145" s="16" t="n"/>
    </row>
    <row r="146">
      <c r="A146" s="16" t="n"/>
      <c r="B146" s="18" t="n"/>
      <c r="C146" s="16" t="n"/>
      <c r="D146" s="19">
        <f>IF(C146="","",IFERROR(INDEX('Database Buyer'!$B$3:$B$202,MATCH(C146,'Database Buyer'!$A$3:$A$202,0)),"ID tidak ditemukan"))</f>
        <v/>
      </c>
      <c r="E146" s="19">
        <f>IF(C146="","",IFERROR(INDEX('Database Buyer'!$C$3:$C$202,MATCH(C146,'Database Buyer'!$A$3:$A$202,0)),""))</f>
        <v/>
      </c>
      <c r="F146" s="16" t="n"/>
      <c r="G146" s="16" t="n"/>
      <c r="H146" s="16" t="n"/>
      <c r="I146" s="16" t="n"/>
      <c r="J146" s="20">
        <f>IF(I146="","",I146*Panduan!$C$25)</f>
        <v/>
      </c>
      <c r="K146" s="21" t="n"/>
      <c r="L146" s="22">
        <f>IF(OR(J146="",K146=""),"",J146*K146)</f>
        <v/>
      </c>
      <c r="M146" s="23">
        <f>IF(L146="","",L146*Panduan!$C$24)</f>
        <v/>
      </c>
      <c r="N146" s="18" t="n"/>
      <c r="O146" s="16" t="n"/>
      <c r="P146" s="16" t="n"/>
    </row>
    <row r="147">
      <c r="A147" s="16" t="n"/>
      <c r="B147" s="18" t="n"/>
      <c r="C147" s="16" t="n"/>
      <c r="D147" s="19">
        <f>IF(C147="","",IFERROR(INDEX('Database Buyer'!$B$3:$B$202,MATCH(C147,'Database Buyer'!$A$3:$A$202,0)),"ID tidak ditemukan"))</f>
        <v/>
      </c>
      <c r="E147" s="19">
        <f>IF(C147="","",IFERROR(INDEX('Database Buyer'!$C$3:$C$202,MATCH(C147,'Database Buyer'!$A$3:$A$202,0)),""))</f>
        <v/>
      </c>
      <c r="F147" s="16" t="n"/>
      <c r="G147" s="16" t="n"/>
      <c r="H147" s="16" t="n"/>
      <c r="I147" s="16" t="n"/>
      <c r="J147" s="20">
        <f>IF(I147="","",I147*Panduan!$C$25)</f>
        <v/>
      </c>
      <c r="K147" s="21" t="n"/>
      <c r="L147" s="22">
        <f>IF(OR(J147="",K147=""),"",J147*K147)</f>
        <v/>
      </c>
      <c r="M147" s="23">
        <f>IF(L147="","",L147*Panduan!$C$24)</f>
        <v/>
      </c>
      <c r="N147" s="18" t="n"/>
      <c r="O147" s="16" t="n"/>
      <c r="P147" s="16" t="n"/>
    </row>
    <row r="148">
      <c r="A148" s="16" t="n"/>
      <c r="B148" s="18" t="n"/>
      <c r="C148" s="16" t="n"/>
      <c r="D148" s="19">
        <f>IF(C148="","",IFERROR(INDEX('Database Buyer'!$B$3:$B$202,MATCH(C148,'Database Buyer'!$A$3:$A$202,0)),"ID tidak ditemukan"))</f>
        <v/>
      </c>
      <c r="E148" s="19">
        <f>IF(C148="","",IFERROR(INDEX('Database Buyer'!$C$3:$C$202,MATCH(C148,'Database Buyer'!$A$3:$A$202,0)),""))</f>
        <v/>
      </c>
      <c r="F148" s="16" t="n"/>
      <c r="G148" s="16" t="n"/>
      <c r="H148" s="16" t="n"/>
      <c r="I148" s="16" t="n"/>
      <c r="J148" s="20">
        <f>IF(I148="","",I148*Panduan!$C$25)</f>
        <v/>
      </c>
      <c r="K148" s="21" t="n"/>
      <c r="L148" s="22">
        <f>IF(OR(J148="",K148=""),"",J148*K148)</f>
        <v/>
      </c>
      <c r="M148" s="23">
        <f>IF(L148="","",L148*Panduan!$C$24)</f>
        <v/>
      </c>
      <c r="N148" s="18" t="n"/>
      <c r="O148" s="16" t="n"/>
      <c r="P148" s="16" t="n"/>
    </row>
    <row r="149">
      <c r="A149" s="16" t="n"/>
      <c r="B149" s="18" t="n"/>
      <c r="C149" s="16" t="n"/>
      <c r="D149" s="19">
        <f>IF(C149="","",IFERROR(INDEX('Database Buyer'!$B$3:$B$202,MATCH(C149,'Database Buyer'!$A$3:$A$202,0)),"ID tidak ditemukan"))</f>
        <v/>
      </c>
      <c r="E149" s="19">
        <f>IF(C149="","",IFERROR(INDEX('Database Buyer'!$C$3:$C$202,MATCH(C149,'Database Buyer'!$A$3:$A$202,0)),""))</f>
        <v/>
      </c>
      <c r="F149" s="16" t="n"/>
      <c r="G149" s="16" t="n"/>
      <c r="H149" s="16" t="n"/>
      <c r="I149" s="16" t="n"/>
      <c r="J149" s="20">
        <f>IF(I149="","",I149*Panduan!$C$25)</f>
        <v/>
      </c>
      <c r="K149" s="21" t="n"/>
      <c r="L149" s="22">
        <f>IF(OR(J149="",K149=""),"",J149*K149)</f>
        <v/>
      </c>
      <c r="M149" s="23">
        <f>IF(L149="","",L149*Panduan!$C$24)</f>
        <v/>
      </c>
      <c r="N149" s="18" t="n"/>
      <c r="O149" s="16" t="n"/>
      <c r="P149" s="16" t="n"/>
    </row>
    <row r="150">
      <c r="A150" s="16" t="n"/>
      <c r="B150" s="18" t="n"/>
      <c r="C150" s="16" t="n"/>
      <c r="D150" s="19">
        <f>IF(C150="","",IFERROR(INDEX('Database Buyer'!$B$3:$B$202,MATCH(C150,'Database Buyer'!$A$3:$A$202,0)),"ID tidak ditemukan"))</f>
        <v/>
      </c>
      <c r="E150" s="19">
        <f>IF(C150="","",IFERROR(INDEX('Database Buyer'!$C$3:$C$202,MATCH(C150,'Database Buyer'!$A$3:$A$202,0)),""))</f>
        <v/>
      </c>
      <c r="F150" s="16" t="n"/>
      <c r="G150" s="16" t="n"/>
      <c r="H150" s="16" t="n"/>
      <c r="I150" s="16" t="n"/>
      <c r="J150" s="20">
        <f>IF(I150="","",I150*Panduan!$C$25)</f>
        <v/>
      </c>
      <c r="K150" s="21" t="n"/>
      <c r="L150" s="22">
        <f>IF(OR(J150="",K150=""),"",J150*K150)</f>
        <v/>
      </c>
      <c r="M150" s="23">
        <f>IF(L150="","",L150*Panduan!$C$24)</f>
        <v/>
      </c>
      <c r="N150" s="18" t="n"/>
      <c r="O150" s="16" t="n"/>
      <c r="P150" s="16" t="n"/>
    </row>
    <row r="151">
      <c r="A151" s="16" t="n"/>
      <c r="B151" s="18" t="n"/>
      <c r="C151" s="16" t="n"/>
      <c r="D151" s="19">
        <f>IF(C151="","",IFERROR(INDEX('Database Buyer'!$B$3:$B$202,MATCH(C151,'Database Buyer'!$A$3:$A$202,0)),"ID tidak ditemukan"))</f>
        <v/>
      </c>
      <c r="E151" s="19">
        <f>IF(C151="","",IFERROR(INDEX('Database Buyer'!$C$3:$C$202,MATCH(C151,'Database Buyer'!$A$3:$A$202,0)),""))</f>
        <v/>
      </c>
      <c r="F151" s="16" t="n"/>
      <c r="G151" s="16" t="n"/>
      <c r="H151" s="16" t="n"/>
      <c r="I151" s="16" t="n"/>
      <c r="J151" s="20">
        <f>IF(I151="","",I151*Panduan!$C$25)</f>
        <v/>
      </c>
      <c r="K151" s="21" t="n"/>
      <c r="L151" s="22">
        <f>IF(OR(J151="",K151=""),"",J151*K151)</f>
        <v/>
      </c>
      <c r="M151" s="23">
        <f>IF(L151="","",L151*Panduan!$C$24)</f>
        <v/>
      </c>
      <c r="N151" s="18" t="n"/>
      <c r="O151" s="16" t="n"/>
      <c r="P151" s="16" t="n"/>
    </row>
    <row r="152">
      <c r="A152" s="16" t="n"/>
      <c r="B152" s="18" t="n"/>
      <c r="C152" s="16" t="n"/>
      <c r="D152" s="19">
        <f>IF(C152="","",IFERROR(INDEX('Database Buyer'!$B$3:$B$202,MATCH(C152,'Database Buyer'!$A$3:$A$202,0)),"ID tidak ditemukan"))</f>
        <v/>
      </c>
      <c r="E152" s="19">
        <f>IF(C152="","",IFERROR(INDEX('Database Buyer'!$C$3:$C$202,MATCH(C152,'Database Buyer'!$A$3:$A$202,0)),""))</f>
        <v/>
      </c>
      <c r="F152" s="16" t="n"/>
      <c r="G152" s="16" t="n"/>
      <c r="H152" s="16" t="n"/>
      <c r="I152" s="16" t="n"/>
      <c r="J152" s="20">
        <f>IF(I152="","",I152*Panduan!$C$25)</f>
        <v/>
      </c>
      <c r="K152" s="21" t="n"/>
      <c r="L152" s="22">
        <f>IF(OR(J152="",K152=""),"",J152*K152)</f>
        <v/>
      </c>
      <c r="M152" s="23">
        <f>IF(L152="","",L152*Panduan!$C$24)</f>
        <v/>
      </c>
      <c r="N152" s="18" t="n"/>
      <c r="O152" s="16" t="n"/>
      <c r="P152" s="16" t="n"/>
    </row>
    <row r="153">
      <c r="A153" s="16" t="n"/>
      <c r="B153" s="18" t="n"/>
      <c r="C153" s="16" t="n"/>
      <c r="D153" s="19">
        <f>IF(C153="","",IFERROR(INDEX('Database Buyer'!$B$3:$B$202,MATCH(C153,'Database Buyer'!$A$3:$A$202,0)),"ID tidak ditemukan"))</f>
        <v/>
      </c>
      <c r="E153" s="19">
        <f>IF(C153="","",IFERROR(INDEX('Database Buyer'!$C$3:$C$202,MATCH(C153,'Database Buyer'!$A$3:$A$202,0)),""))</f>
        <v/>
      </c>
      <c r="F153" s="16" t="n"/>
      <c r="G153" s="16" t="n"/>
      <c r="H153" s="16" t="n"/>
      <c r="I153" s="16" t="n"/>
      <c r="J153" s="20">
        <f>IF(I153="","",I153*Panduan!$C$25)</f>
        <v/>
      </c>
      <c r="K153" s="21" t="n"/>
      <c r="L153" s="22">
        <f>IF(OR(J153="",K153=""),"",J153*K153)</f>
        <v/>
      </c>
      <c r="M153" s="23">
        <f>IF(L153="","",L153*Panduan!$C$24)</f>
        <v/>
      </c>
      <c r="N153" s="18" t="n"/>
      <c r="O153" s="16" t="n"/>
      <c r="P153" s="16" t="n"/>
    </row>
    <row r="154">
      <c r="A154" s="16" t="n"/>
      <c r="B154" s="18" t="n"/>
      <c r="C154" s="16" t="n"/>
      <c r="D154" s="19">
        <f>IF(C154="","",IFERROR(INDEX('Database Buyer'!$B$3:$B$202,MATCH(C154,'Database Buyer'!$A$3:$A$202,0)),"ID tidak ditemukan"))</f>
        <v/>
      </c>
      <c r="E154" s="19">
        <f>IF(C154="","",IFERROR(INDEX('Database Buyer'!$C$3:$C$202,MATCH(C154,'Database Buyer'!$A$3:$A$202,0)),""))</f>
        <v/>
      </c>
      <c r="F154" s="16" t="n"/>
      <c r="G154" s="16" t="n"/>
      <c r="H154" s="16" t="n"/>
      <c r="I154" s="16" t="n"/>
      <c r="J154" s="20">
        <f>IF(I154="","",I154*Panduan!$C$25)</f>
        <v/>
      </c>
      <c r="K154" s="21" t="n"/>
      <c r="L154" s="22">
        <f>IF(OR(J154="",K154=""),"",J154*K154)</f>
        <v/>
      </c>
      <c r="M154" s="23">
        <f>IF(L154="","",L154*Panduan!$C$24)</f>
        <v/>
      </c>
      <c r="N154" s="18" t="n"/>
      <c r="O154" s="16" t="n"/>
      <c r="P154" s="16" t="n"/>
    </row>
    <row r="155">
      <c r="A155" s="16" t="n"/>
      <c r="B155" s="18" t="n"/>
      <c r="C155" s="16" t="n"/>
      <c r="D155" s="19">
        <f>IF(C155="","",IFERROR(INDEX('Database Buyer'!$B$3:$B$202,MATCH(C155,'Database Buyer'!$A$3:$A$202,0)),"ID tidak ditemukan"))</f>
        <v/>
      </c>
      <c r="E155" s="19">
        <f>IF(C155="","",IFERROR(INDEX('Database Buyer'!$C$3:$C$202,MATCH(C155,'Database Buyer'!$A$3:$A$202,0)),""))</f>
        <v/>
      </c>
      <c r="F155" s="16" t="n"/>
      <c r="G155" s="16" t="n"/>
      <c r="H155" s="16" t="n"/>
      <c r="I155" s="16" t="n"/>
      <c r="J155" s="20">
        <f>IF(I155="","",I155*Panduan!$C$25)</f>
        <v/>
      </c>
      <c r="K155" s="21" t="n"/>
      <c r="L155" s="22">
        <f>IF(OR(J155="",K155=""),"",J155*K155)</f>
        <v/>
      </c>
      <c r="M155" s="23">
        <f>IF(L155="","",L155*Panduan!$C$24)</f>
        <v/>
      </c>
      <c r="N155" s="18" t="n"/>
      <c r="O155" s="16" t="n"/>
      <c r="P155" s="16" t="n"/>
    </row>
    <row r="156">
      <c r="A156" s="16" t="n"/>
      <c r="B156" s="18" t="n"/>
      <c r="C156" s="16" t="n"/>
      <c r="D156" s="19">
        <f>IF(C156="","",IFERROR(INDEX('Database Buyer'!$B$3:$B$202,MATCH(C156,'Database Buyer'!$A$3:$A$202,0)),"ID tidak ditemukan"))</f>
        <v/>
      </c>
      <c r="E156" s="19">
        <f>IF(C156="","",IFERROR(INDEX('Database Buyer'!$C$3:$C$202,MATCH(C156,'Database Buyer'!$A$3:$A$202,0)),""))</f>
        <v/>
      </c>
      <c r="F156" s="16" t="n"/>
      <c r="G156" s="16" t="n"/>
      <c r="H156" s="16" t="n"/>
      <c r="I156" s="16" t="n"/>
      <c r="J156" s="20">
        <f>IF(I156="","",I156*Panduan!$C$25)</f>
        <v/>
      </c>
      <c r="K156" s="21" t="n"/>
      <c r="L156" s="22">
        <f>IF(OR(J156="",K156=""),"",J156*K156)</f>
        <v/>
      </c>
      <c r="M156" s="23">
        <f>IF(L156="","",L156*Panduan!$C$24)</f>
        <v/>
      </c>
      <c r="N156" s="18" t="n"/>
      <c r="O156" s="16" t="n"/>
      <c r="P156" s="16" t="n"/>
    </row>
    <row r="157">
      <c r="A157" s="16" t="n"/>
      <c r="B157" s="18" t="n"/>
      <c r="C157" s="16" t="n"/>
      <c r="D157" s="19">
        <f>IF(C157="","",IFERROR(INDEX('Database Buyer'!$B$3:$B$202,MATCH(C157,'Database Buyer'!$A$3:$A$202,0)),"ID tidak ditemukan"))</f>
        <v/>
      </c>
      <c r="E157" s="19">
        <f>IF(C157="","",IFERROR(INDEX('Database Buyer'!$C$3:$C$202,MATCH(C157,'Database Buyer'!$A$3:$A$202,0)),""))</f>
        <v/>
      </c>
      <c r="F157" s="16" t="n"/>
      <c r="G157" s="16" t="n"/>
      <c r="H157" s="16" t="n"/>
      <c r="I157" s="16" t="n"/>
      <c r="J157" s="20">
        <f>IF(I157="","",I157*Panduan!$C$25)</f>
        <v/>
      </c>
      <c r="K157" s="21" t="n"/>
      <c r="L157" s="22">
        <f>IF(OR(J157="",K157=""),"",J157*K157)</f>
        <v/>
      </c>
      <c r="M157" s="23">
        <f>IF(L157="","",L157*Panduan!$C$24)</f>
        <v/>
      </c>
      <c r="N157" s="18" t="n"/>
      <c r="O157" s="16" t="n"/>
      <c r="P157" s="16" t="n"/>
    </row>
    <row r="158">
      <c r="A158" s="16" t="n"/>
      <c r="B158" s="18" t="n"/>
      <c r="C158" s="16" t="n"/>
      <c r="D158" s="19">
        <f>IF(C158="","",IFERROR(INDEX('Database Buyer'!$B$3:$B$202,MATCH(C158,'Database Buyer'!$A$3:$A$202,0)),"ID tidak ditemukan"))</f>
        <v/>
      </c>
      <c r="E158" s="19">
        <f>IF(C158="","",IFERROR(INDEX('Database Buyer'!$C$3:$C$202,MATCH(C158,'Database Buyer'!$A$3:$A$202,0)),""))</f>
        <v/>
      </c>
      <c r="F158" s="16" t="n"/>
      <c r="G158" s="16" t="n"/>
      <c r="H158" s="16" t="n"/>
      <c r="I158" s="16" t="n"/>
      <c r="J158" s="20">
        <f>IF(I158="","",I158*Panduan!$C$25)</f>
        <v/>
      </c>
      <c r="K158" s="21" t="n"/>
      <c r="L158" s="22">
        <f>IF(OR(J158="",K158=""),"",J158*K158)</f>
        <v/>
      </c>
      <c r="M158" s="23">
        <f>IF(L158="","",L158*Panduan!$C$24)</f>
        <v/>
      </c>
      <c r="N158" s="18" t="n"/>
      <c r="O158" s="16" t="n"/>
      <c r="P158" s="16" t="n"/>
    </row>
    <row r="159">
      <c r="A159" s="16" t="n"/>
      <c r="B159" s="18" t="n"/>
      <c r="C159" s="16" t="n"/>
      <c r="D159" s="19">
        <f>IF(C159="","",IFERROR(INDEX('Database Buyer'!$B$3:$B$202,MATCH(C159,'Database Buyer'!$A$3:$A$202,0)),"ID tidak ditemukan"))</f>
        <v/>
      </c>
      <c r="E159" s="19">
        <f>IF(C159="","",IFERROR(INDEX('Database Buyer'!$C$3:$C$202,MATCH(C159,'Database Buyer'!$A$3:$A$202,0)),""))</f>
        <v/>
      </c>
      <c r="F159" s="16" t="n"/>
      <c r="G159" s="16" t="n"/>
      <c r="H159" s="16" t="n"/>
      <c r="I159" s="16" t="n"/>
      <c r="J159" s="20">
        <f>IF(I159="","",I159*Panduan!$C$25)</f>
        <v/>
      </c>
      <c r="K159" s="21" t="n"/>
      <c r="L159" s="22">
        <f>IF(OR(J159="",K159=""),"",J159*K159)</f>
        <v/>
      </c>
      <c r="M159" s="23">
        <f>IF(L159="","",L159*Panduan!$C$24)</f>
        <v/>
      </c>
      <c r="N159" s="18" t="n"/>
      <c r="O159" s="16" t="n"/>
      <c r="P159" s="16" t="n"/>
    </row>
    <row r="160">
      <c r="A160" s="16" t="n"/>
      <c r="B160" s="18" t="n"/>
      <c r="C160" s="16" t="n"/>
      <c r="D160" s="19">
        <f>IF(C160="","",IFERROR(INDEX('Database Buyer'!$B$3:$B$202,MATCH(C160,'Database Buyer'!$A$3:$A$202,0)),"ID tidak ditemukan"))</f>
        <v/>
      </c>
      <c r="E160" s="19">
        <f>IF(C160="","",IFERROR(INDEX('Database Buyer'!$C$3:$C$202,MATCH(C160,'Database Buyer'!$A$3:$A$202,0)),""))</f>
        <v/>
      </c>
      <c r="F160" s="16" t="n"/>
      <c r="G160" s="16" t="n"/>
      <c r="H160" s="16" t="n"/>
      <c r="I160" s="16" t="n"/>
      <c r="J160" s="20">
        <f>IF(I160="","",I160*Panduan!$C$25)</f>
        <v/>
      </c>
      <c r="K160" s="21" t="n"/>
      <c r="L160" s="22">
        <f>IF(OR(J160="",K160=""),"",J160*K160)</f>
        <v/>
      </c>
      <c r="M160" s="23">
        <f>IF(L160="","",L160*Panduan!$C$24)</f>
        <v/>
      </c>
      <c r="N160" s="18" t="n"/>
      <c r="O160" s="16" t="n"/>
      <c r="P160" s="16" t="n"/>
    </row>
    <row r="161">
      <c r="A161" s="16" t="n"/>
      <c r="B161" s="18" t="n"/>
      <c r="C161" s="16" t="n"/>
      <c r="D161" s="19">
        <f>IF(C161="","",IFERROR(INDEX('Database Buyer'!$B$3:$B$202,MATCH(C161,'Database Buyer'!$A$3:$A$202,0)),"ID tidak ditemukan"))</f>
        <v/>
      </c>
      <c r="E161" s="19">
        <f>IF(C161="","",IFERROR(INDEX('Database Buyer'!$C$3:$C$202,MATCH(C161,'Database Buyer'!$A$3:$A$202,0)),""))</f>
        <v/>
      </c>
      <c r="F161" s="16" t="n"/>
      <c r="G161" s="16" t="n"/>
      <c r="H161" s="16" t="n"/>
      <c r="I161" s="16" t="n"/>
      <c r="J161" s="20">
        <f>IF(I161="","",I161*Panduan!$C$25)</f>
        <v/>
      </c>
      <c r="K161" s="21" t="n"/>
      <c r="L161" s="22">
        <f>IF(OR(J161="",K161=""),"",J161*K161)</f>
        <v/>
      </c>
      <c r="M161" s="23">
        <f>IF(L161="","",L161*Panduan!$C$24)</f>
        <v/>
      </c>
      <c r="N161" s="18" t="n"/>
      <c r="O161" s="16" t="n"/>
      <c r="P161" s="16" t="n"/>
    </row>
    <row r="162">
      <c r="A162" s="16" t="n"/>
      <c r="B162" s="18" t="n"/>
      <c r="C162" s="16" t="n"/>
      <c r="D162" s="19">
        <f>IF(C162="","",IFERROR(INDEX('Database Buyer'!$B$3:$B$202,MATCH(C162,'Database Buyer'!$A$3:$A$202,0)),"ID tidak ditemukan"))</f>
        <v/>
      </c>
      <c r="E162" s="19">
        <f>IF(C162="","",IFERROR(INDEX('Database Buyer'!$C$3:$C$202,MATCH(C162,'Database Buyer'!$A$3:$A$202,0)),""))</f>
        <v/>
      </c>
      <c r="F162" s="16" t="n"/>
      <c r="G162" s="16" t="n"/>
      <c r="H162" s="16" t="n"/>
      <c r="I162" s="16" t="n"/>
      <c r="J162" s="20">
        <f>IF(I162="","",I162*Panduan!$C$25)</f>
        <v/>
      </c>
      <c r="K162" s="21" t="n"/>
      <c r="L162" s="22">
        <f>IF(OR(J162="",K162=""),"",J162*K162)</f>
        <v/>
      </c>
      <c r="M162" s="23">
        <f>IF(L162="","",L162*Panduan!$C$24)</f>
        <v/>
      </c>
      <c r="N162" s="18" t="n"/>
      <c r="O162" s="16" t="n"/>
      <c r="P162" s="16" t="n"/>
    </row>
    <row r="163">
      <c r="A163" s="16" t="n"/>
      <c r="B163" s="18" t="n"/>
      <c r="C163" s="16" t="n"/>
      <c r="D163" s="19">
        <f>IF(C163="","",IFERROR(INDEX('Database Buyer'!$B$3:$B$202,MATCH(C163,'Database Buyer'!$A$3:$A$202,0)),"ID tidak ditemukan"))</f>
        <v/>
      </c>
      <c r="E163" s="19">
        <f>IF(C163="","",IFERROR(INDEX('Database Buyer'!$C$3:$C$202,MATCH(C163,'Database Buyer'!$A$3:$A$202,0)),""))</f>
        <v/>
      </c>
      <c r="F163" s="16" t="n"/>
      <c r="G163" s="16" t="n"/>
      <c r="H163" s="16" t="n"/>
      <c r="I163" s="16" t="n"/>
      <c r="J163" s="20">
        <f>IF(I163="","",I163*Panduan!$C$25)</f>
        <v/>
      </c>
      <c r="K163" s="21" t="n"/>
      <c r="L163" s="22">
        <f>IF(OR(J163="",K163=""),"",J163*K163)</f>
        <v/>
      </c>
      <c r="M163" s="23">
        <f>IF(L163="","",L163*Panduan!$C$24)</f>
        <v/>
      </c>
      <c r="N163" s="18" t="n"/>
      <c r="O163" s="16" t="n"/>
      <c r="P163" s="16" t="n"/>
    </row>
    <row r="164">
      <c r="A164" s="16" t="n"/>
      <c r="B164" s="18" t="n"/>
      <c r="C164" s="16" t="n"/>
      <c r="D164" s="19">
        <f>IF(C164="","",IFERROR(INDEX('Database Buyer'!$B$3:$B$202,MATCH(C164,'Database Buyer'!$A$3:$A$202,0)),"ID tidak ditemukan"))</f>
        <v/>
      </c>
      <c r="E164" s="19">
        <f>IF(C164="","",IFERROR(INDEX('Database Buyer'!$C$3:$C$202,MATCH(C164,'Database Buyer'!$A$3:$A$202,0)),""))</f>
        <v/>
      </c>
      <c r="F164" s="16" t="n"/>
      <c r="G164" s="16" t="n"/>
      <c r="H164" s="16" t="n"/>
      <c r="I164" s="16" t="n"/>
      <c r="J164" s="20">
        <f>IF(I164="","",I164*Panduan!$C$25)</f>
        <v/>
      </c>
      <c r="K164" s="21" t="n"/>
      <c r="L164" s="22">
        <f>IF(OR(J164="",K164=""),"",J164*K164)</f>
        <v/>
      </c>
      <c r="M164" s="23">
        <f>IF(L164="","",L164*Panduan!$C$24)</f>
        <v/>
      </c>
      <c r="N164" s="18" t="n"/>
      <c r="O164" s="16" t="n"/>
      <c r="P164" s="16" t="n"/>
    </row>
    <row r="165">
      <c r="A165" s="16" t="n"/>
      <c r="B165" s="18" t="n"/>
      <c r="C165" s="16" t="n"/>
      <c r="D165" s="19">
        <f>IF(C165="","",IFERROR(INDEX('Database Buyer'!$B$3:$B$202,MATCH(C165,'Database Buyer'!$A$3:$A$202,0)),"ID tidak ditemukan"))</f>
        <v/>
      </c>
      <c r="E165" s="19">
        <f>IF(C165="","",IFERROR(INDEX('Database Buyer'!$C$3:$C$202,MATCH(C165,'Database Buyer'!$A$3:$A$202,0)),""))</f>
        <v/>
      </c>
      <c r="F165" s="16" t="n"/>
      <c r="G165" s="16" t="n"/>
      <c r="H165" s="16" t="n"/>
      <c r="I165" s="16" t="n"/>
      <c r="J165" s="20">
        <f>IF(I165="","",I165*Panduan!$C$25)</f>
        <v/>
      </c>
      <c r="K165" s="21" t="n"/>
      <c r="L165" s="22">
        <f>IF(OR(J165="",K165=""),"",J165*K165)</f>
        <v/>
      </c>
      <c r="M165" s="23">
        <f>IF(L165="","",L165*Panduan!$C$24)</f>
        <v/>
      </c>
      <c r="N165" s="18" t="n"/>
      <c r="O165" s="16" t="n"/>
      <c r="P165" s="16" t="n"/>
    </row>
    <row r="166">
      <c r="A166" s="16" t="n"/>
      <c r="B166" s="18" t="n"/>
      <c r="C166" s="16" t="n"/>
      <c r="D166" s="19">
        <f>IF(C166="","",IFERROR(INDEX('Database Buyer'!$B$3:$B$202,MATCH(C166,'Database Buyer'!$A$3:$A$202,0)),"ID tidak ditemukan"))</f>
        <v/>
      </c>
      <c r="E166" s="19">
        <f>IF(C166="","",IFERROR(INDEX('Database Buyer'!$C$3:$C$202,MATCH(C166,'Database Buyer'!$A$3:$A$202,0)),""))</f>
        <v/>
      </c>
      <c r="F166" s="16" t="n"/>
      <c r="G166" s="16" t="n"/>
      <c r="H166" s="16" t="n"/>
      <c r="I166" s="16" t="n"/>
      <c r="J166" s="20">
        <f>IF(I166="","",I166*Panduan!$C$25)</f>
        <v/>
      </c>
      <c r="K166" s="21" t="n"/>
      <c r="L166" s="22">
        <f>IF(OR(J166="",K166=""),"",J166*K166)</f>
        <v/>
      </c>
      <c r="M166" s="23">
        <f>IF(L166="","",L166*Panduan!$C$24)</f>
        <v/>
      </c>
      <c r="N166" s="18" t="n"/>
      <c r="O166" s="16" t="n"/>
      <c r="P166" s="16" t="n"/>
    </row>
    <row r="167">
      <c r="A167" s="16" t="n"/>
      <c r="B167" s="18" t="n"/>
      <c r="C167" s="16" t="n"/>
      <c r="D167" s="19">
        <f>IF(C167="","",IFERROR(INDEX('Database Buyer'!$B$3:$B$202,MATCH(C167,'Database Buyer'!$A$3:$A$202,0)),"ID tidak ditemukan"))</f>
        <v/>
      </c>
      <c r="E167" s="19">
        <f>IF(C167="","",IFERROR(INDEX('Database Buyer'!$C$3:$C$202,MATCH(C167,'Database Buyer'!$A$3:$A$202,0)),""))</f>
        <v/>
      </c>
      <c r="F167" s="16" t="n"/>
      <c r="G167" s="16" t="n"/>
      <c r="H167" s="16" t="n"/>
      <c r="I167" s="16" t="n"/>
      <c r="J167" s="20">
        <f>IF(I167="","",I167*Panduan!$C$25)</f>
        <v/>
      </c>
      <c r="K167" s="21" t="n"/>
      <c r="L167" s="22">
        <f>IF(OR(J167="",K167=""),"",J167*K167)</f>
        <v/>
      </c>
      <c r="M167" s="23">
        <f>IF(L167="","",L167*Panduan!$C$24)</f>
        <v/>
      </c>
      <c r="N167" s="18" t="n"/>
      <c r="O167" s="16" t="n"/>
      <c r="P167" s="16" t="n"/>
    </row>
    <row r="168">
      <c r="A168" s="16" t="n"/>
      <c r="B168" s="18" t="n"/>
      <c r="C168" s="16" t="n"/>
      <c r="D168" s="19">
        <f>IF(C168="","",IFERROR(INDEX('Database Buyer'!$B$3:$B$202,MATCH(C168,'Database Buyer'!$A$3:$A$202,0)),"ID tidak ditemukan"))</f>
        <v/>
      </c>
      <c r="E168" s="19">
        <f>IF(C168="","",IFERROR(INDEX('Database Buyer'!$C$3:$C$202,MATCH(C168,'Database Buyer'!$A$3:$A$202,0)),""))</f>
        <v/>
      </c>
      <c r="F168" s="16" t="n"/>
      <c r="G168" s="16" t="n"/>
      <c r="H168" s="16" t="n"/>
      <c r="I168" s="16" t="n"/>
      <c r="J168" s="20">
        <f>IF(I168="","",I168*Panduan!$C$25)</f>
        <v/>
      </c>
      <c r="K168" s="21" t="n"/>
      <c r="L168" s="22">
        <f>IF(OR(J168="",K168=""),"",J168*K168)</f>
        <v/>
      </c>
      <c r="M168" s="23">
        <f>IF(L168="","",L168*Panduan!$C$24)</f>
        <v/>
      </c>
      <c r="N168" s="18" t="n"/>
      <c r="O168" s="16" t="n"/>
      <c r="P168" s="16" t="n"/>
    </row>
    <row r="169">
      <c r="A169" s="16" t="n"/>
      <c r="B169" s="18" t="n"/>
      <c r="C169" s="16" t="n"/>
      <c r="D169" s="19">
        <f>IF(C169="","",IFERROR(INDEX('Database Buyer'!$B$3:$B$202,MATCH(C169,'Database Buyer'!$A$3:$A$202,0)),"ID tidak ditemukan"))</f>
        <v/>
      </c>
      <c r="E169" s="19">
        <f>IF(C169="","",IFERROR(INDEX('Database Buyer'!$C$3:$C$202,MATCH(C169,'Database Buyer'!$A$3:$A$202,0)),""))</f>
        <v/>
      </c>
      <c r="F169" s="16" t="n"/>
      <c r="G169" s="16" t="n"/>
      <c r="H169" s="16" t="n"/>
      <c r="I169" s="16" t="n"/>
      <c r="J169" s="20">
        <f>IF(I169="","",I169*Panduan!$C$25)</f>
        <v/>
      </c>
      <c r="K169" s="21" t="n"/>
      <c r="L169" s="22">
        <f>IF(OR(J169="",K169=""),"",J169*K169)</f>
        <v/>
      </c>
      <c r="M169" s="23">
        <f>IF(L169="","",L169*Panduan!$C$24)</f>
        <v/>
      </c>
      <c r="N169" s="18" t="n"/>
      <c r="O169" s="16" t="n"/>
      <c r="P169" s="16" t="n"/>
    </row>
    <row r="170">
      <c r="A170" s="16" t="n"/>
      <c r="B170" s="18" t="n"/>
      <c r="C170" s="16" t="n"/>
      <c r="D170" s="19">
        <f>IF(C170="","",IFERROR(INDEX('Database Buyer'!$B$3:$B$202,MATCH(C170,'Database Buyer'!$A$3:$A$202,0)),"ID tidak ditemukan"))</f>
        <v/>
      </c>
      <c r="E170" s="19">
        <f>IF(C170="","",IFERROR(INDEX('Database Buyer'!$C$3:$C$202,MATCH(C170,'Database Buyer'!$A$3:$A$202,0)),""))</f>
        <v/>
      </c>
      <c r="F170" s="16" t="n"/>
      <c r="G170" s="16" t="n"/>
      <c r="H170" s="16" t="n"/>
      <c r="I170" s="16" t="n"/>
      <c r="J170" s="20">
        <f>IF(I170="","",I170*Panduan!$C$25)</f>
        <v/>
      </c>
      <c r="K170" s="21" t="n"/>
      <c r="L170" s="22">
        <f>IF(OR(J170="",K170=""),"",J170*K170)</f>
        <v/>
      </c>
      <c r="M170" s="23">
        <f>IF(L170="","",L170*Panduan!$C$24)</f>
        <v/>
      </c>
      <c r="N170" s="18" t="n"/>
      <c r="O170" s="16" t="n"/>
      <c r="P170" s="16" t="n"/>
    </row>
    <row r="171">
      <c r="A171" s="16" t="n"/>
      <c r="B171" s="18" t="n"/>
      <c r="C171" s="16" t="n"/>
      <c r="D171" s="19">
        <f>IF(C171="","",IFERROR(INDEX('Database Buyer'!$B$3:$B$202,MATCH(C171,'Database Buyer'!$A$3:$A$202,0)),"ID tidak ditemukan"))</f>
        <v/>
      </c>
      <c r="E171" s="19">
        <f>IF(C171="","",IFERROR(INDEX('Database Buyer'!$C$3:$C$202,MATCH(C171,'Database Buyer'!$A$3:$A$202,0)),""))</f>
        <v/>
      </c>
      <c r="F171" s="16" t="n"/>
      <c r="G171" s="16" t="n"/>
      <c r="H171" s="16" t="n"/>
      <c r="I171" s="16" t="n"/>
      <c r="J171" s="20">
        <f>IF(I171="","",I171*Panduan!$C$25)</f>
        <v/>
      </c>
      <c r="K171" s="21" t="n"/>
      <c r="L171" s="22">
        <f>IF(OR(J171="",K171=""),"",J171*K171)</f>
        <v/>
      </c>
      <c r="M171" s="23">
        <f>IF(L171="","",L171*Panduan!$C$24)</f>
        <v/>
      </c>
      <c r="N171" s="18" t="n"/>
      <c r="O171" s="16" t="n"/>
      <c r="P171" s="16" t="n"/>
    </row>
    <row r="172">
      <c r="A172" s="16" t="n"/>
      <c r="B172" s="18" t="n"/>
      <c r="C172" s="16" t="n"/>
      <c r="D172" s="19">
        <f>IF(C172="","",IFERROR(INDEX('Database Buyer'!$B$3:$B$202,MATCH(C172,'Database Buyer'!$A$3:$A$202,0)),"ID tidak ditemukan"))</f>
        <v/>
      </c>
      <c r="E172" s="19">
        <f>IF(C172="","",IFERROR(INDEX('Database Buyer'!$C$3:$C$202,MATCH(C172,'Database Buyer'!$A$3:$A$202,0)),""))</f>
        <v/>
      </c>
      <c r="F172" s="16" t="n"/>
      <c r="G172" s="16" t="n"/>
      <c r="H172" s="16" t="n"/>
      <c r="I172" s="16" t="n"/>
      <c r="J172" s="20">
        <f>IF(I172="","",I172*Panduan!$C$25)</f>
        <v/>
      </c>
      <c r="K172" s="21" t="n"/>
      <c r="L172" s="22">
        <f>IF(OR(J172="",K172=""),"",J172*K172)</f>
        <v/>
      </c>
      <c r="M172" s="23">
        <f>IF(L172="","",L172*Panduan!$C$24)</f>
        <v/>
      </c>
      <c r="N172" s="18" t="n"/>
      <c r="O172" s="16" t="n"/>
      <c r="P172" s="16" t="n"/>
    </row>
    <row r="173">
      <c r="A173" s="16" t="n"/>
      <c r="B173" s="18" t="n"/>
      <c r="C173" s="16" t="n"/>
      <c r="D173" s="19">
        <f>IF(C173="","",IFERROR(INDEX('Database Buyer'!$B$3:$B$202,MATCH(C173,'Database Buyer'!$A$3:$A$202,0)),"ID tidak ditemukan"))</f>
        <v/>
      </c>
      <c r="E173" s="19">
        <f>IF(C173="","",IFERROR(INDEX('Database Buyer'!$C$3:$C$202,MATCH(C173,'Database Buyer'!$A$3:$A$202,0)),""))</f>
        <v/>
      </c>
      <c r="F173" s="16" t="n"/>
      <c r="G173" s="16" t="n"/>
      <c r="H173" s="16" t="n"/>
      <c r="I173" s="16" t="n"/>
      <c r="J173" s="20">
        <f>IF(I173="","",I173*Panduan!$C$25)</f>
        <v/>
      </c>
      <c r="K173" s="21" t="n"/>
      <c r="L173" s="22">
        <f>IF(OR(J173="",K173=""),"",J173*K173)</f>
        <v/>
      </c>
      <c r="M173" s="23">
        <f>IF(L173="","",L173*Panduan!$C$24)</f>
        <v/>
      </c>
      <c r="N173" s="18" t="n"/>
      <c r="O173" s="16" t="n"/>
      <c r="P173" s="16" t="n"/>
    </row>
    <row r="174">
      <c r="A174" s="16" t="n"/>
      <c r="B174" s="18" t="n"/>
      <c r="C174" s="16" t="n"/>
      <c r="D174" s="19">
        <f>IF(C174="","",IFERROR(INDEX('Database Buyer'!$B$3:$B$202,MATCH(C174,'Database Buyer'!$A$3:$A$202,0)),"ID tidak ditemukan"))</f>
        <v/>
      </c>
      <c r="E174" s="19">
        <f>IF(C174="","",IFERROR(INDEX('Database Buyer'!$C$3:$C$202,MATCH(C174,'Database Buyer'!$A$3:$A$202,0)),""))</f>
        <v/>
      </c>
      <c r="F174" s="16" t="n"/>
      <c r="G174" s="16" t="n"/>
      <c r="H174" s="16" t="n"/>
      <c r="I174" s="16" t="n"/>
      <c r="J174" s="20">
        <f>IF(I174="","",I174*Panduan!$C$25)</f>
        <v/>
      </c>
      <c r="K174" s="21" t="n"/>
      <c r="L174" s="22">
        <f>IF(OR(J174="",K174=""),"",J174*K174)</f>
        <v/>
      </c>
      <c r="M174" s="23">
        <f>IF(L174="","",L174*Panduan!$C$24)</f>
        <v/>
      </c>
      <c r="N174" s="18" t="n"/>
      <c r="O174" s="16" t="n"/>
      <c r="P174" s="16" t="n"/>
    </row>
    <row r="175">
      <c r="A175" s="16" t="n"/>
      <c r="B175" s="18" t="n"/>
      <c r="C175" s="16" t="n"/>
      <c r="D175" s="19">
        <f>IF(C175="","",IFERROR(INDEX('Database Buyer'!$B$3:$B$202,MATCH(C175,'Database Buyer'!$A$3:$A$202,0)),"ID tidak ditemukan"))</f>
        <v/>
      </c>
      <c r="E175" s="19">
        <f>IF(C175="","",IFERROR(INDEX('Database Buyer'!$C$3:$C$202,MATCH(C175,'Database Buyer'!$A$3:$A$202,0)),""))</f>
        <v/>
      </c>
      <c r="F175" s="16" t="n"/>
      <c r="G175" s="16" t="n"/>
      <c r="H175" s="16" t="n"/>
      <c r="I175" s="16" t="n"/>
      <c r="J175" s="20">
        <f>IF(I175="","",I175*Panduan!$C$25)</f>
        <v/>
      </c>
      <c r="K175" s="21" t="n"/>
      <c r="L175" s="22">
        <f>IF(OR(J175="",K175=""),"",J175*K175)</f>
        <v/>
      </c>
      <c r="M175" s="23">
        <f>IF(L175="","",L175*Panduan!$C$24)</f>
        <v/>
      </c>
      <c r="N175" s="18" t="n"/>
      <c r="O175" s="16" t="n"/>
      <c r="P175" s="16" t="n"/>
    </row>
    <row r="176">
      <c r="A176" s="16" t="n"/>
      <c r="B176" s="18" t="n"/>
      <c r="C176" s="16" t="n"/>
      <c r="D176" s="19">
        <f>IF(C176="","",IFERROR(INDEX('Database Buyer'!$B$3:$B$202,MATCH(C176,'Database Buyer'!$A$3:$A$202,0)),"ID tidak ditemukan"))</f>
        <v/>
      </c>
      <c r="E176" s="19">
        <f>IF(C176="","",IFERROR(INDEX('Database Buyer'!$C$3:$C$202,MATCH(C176,'Database Buyer'!$A$3:$A$202,0)),""))</f>
        <v/>
      </c>
      <c r="F176" s="16" t="n"/>
      <c r="G176" s="16" t="n"/>
      <c r="H176" s="16" t="n"/>
      <c r="I176" s="16" t="n"/>
      <c r="J176" s="20">
        <f>IF(I176="","",I176*Panduan!$C$25)</f>
        <v/>
      </c>
      <c r="K176" s="21" t="n"/>
      <c r="L176" s="22">
        <f>IF(OR(J176="",K176=""),"",J176*K176)</f>
        <v/>
      </c>
      <c r="M176" s="23">
        <f>IF(L176="","",L176*Panduan!$C$24)</f>
        <v/>
      </c>
      <c r="N176" s="18" t="n"/>
      <c r="O176" s="16" t="n"/>
      <c r="P176" s="16" t="n"/>
    </row>
    <row r="177">
      <c r="A177" s="16" t="n"/>
      <c r="B177" s="18" t="n"/>
      <c r="C177" s="16" t="n"/>
      <c r="D177" s="19">
        <f>IF(C177="","",IFERROR(INDEX('Database Buyer'!$B$3:$B$202,MATCH(C177,'Database Buyer'!$A$3:$A$202,0)),"ID tidak ditemukan"))</f>
        <v/>
      </c>
      <c r="E177" s="19">
        <f>IF(C177="","",IFERROR(INDEX('Database Buyer'!$C$3:$C$202,MATCH(C177,'Database Buyer'!$A$3:$A$202,0)),""))</f>
        <v/>
      </c>
      <c r="F177" s="16" t="n"/>
      <c r="G177" s="16" t="n"/>
      <c r="H177" s="16" t="n"/>
      <c r="I177" s="16" t="n"/>
      <c r="J177" s="20">
        <f>IF(I177="","",I177*Panduan!$C$25)</f>
        <v/>
      </c>
      <c r="K177" s="21" t="n"/>
      <c r="L177" s="22">
        <f>IF(OR(J177="",K177=""),"",J177*K177)</f>
        <v/>
      </c>
      <c r="M177" s="23">
        <f>IF(L177="","",L177*Panduan!$C$24)</f>
        <v/>
      </c>
      <c r="N177" s="18" t="n"/>
      <c r="O177" s="16" t="n"/>
      <c r="P177" s="16" t="n"/>
    </row>
    <row r="178">
      <c r="A178" s="16" t="n"/>
      <c r="B178" s="18" t="n"/>
      <c r="C178" s="16" t="n"/>
      <c r="D178" s="19">
        <f>IF(C178="","",IFERROR(INDEX('Database Buyer'!$B$3:$B$202,MATCH(C178,'Database Buyer'!$A$3:$A$202,0)),"ID tidak ditemukan"))</f>
        <v/>
      </c>
      <c r="E178" s="19">
        <f>IF(C178="","",IFERROR(INDEX('Database Buyer'!$C$3:$C$202,MATCH(C178,'Database Buyer'!$A$3:$A$202,0)),""))</f>
        <v/>
      </c>
      <c r="F178" s="16" t="n"/>
      <c r="G178" s="16" t="n"/>
      <c r="H178" s="16" t="n"/>
      <c r="I178" s="16" t="n"/>
      <c r="J178" s="20">
        <f>IF(I178="","",I178*Panduan!$C$25)</f>
        <v/>
      </c>
      <c r="K178" s="21" t="n"/>
      <c r="L178" s="22">
        <f>IF(OR(J178="",K178=""),"",J178*K178)</f>
        <v/>
      </c>
      <c r="M178" s="23">
        <f>IF(L178="","",L178*Panduan!$C$24)</f>
        <v/>
      </c>
      <c r="N178" s="18" t="n"/>
      <c r="O178" s="16" t="n"/>
      <c r="P178" s="16" t="n"/>
    </row>
    <row r="179">
      <c r="A179" s="16" t="n"/>
      <c r="B179" s="18" t="n"/>
      <c r="C179" s="16" t="n"/>
      <c r="D179" s="19">
        <f>IF(C179="","",IFERROR(INDEX('Database Buyer'!$B$3:$B$202,MATCH(C179,'Database Buyer'!$A$3:$A$202,0)),"ID tidak ditemukan"))</f>
        <v/>
      </c>
      <c r="E179" s="19">
        <f>IF(C179="","",IFERROR(INDEX('Database Buyer'!$C$3:$C$202,MATCH(C179,'Database Buyer'!$A$3:$A$202,0)),""))</f>
        <v/>
      </c>
      <c r="F179" s="16" t="n"/>
      <c r="G179" s="16" t="n"/>
      <c r="H179" s="16" t="n"/>
      <c r="I179" s="16" t="n"/>
      <c r="J179" s="20">
        <f>IF(I179="","",I179*Panduan!$C$25)</f>
        <v/>
      </c>
      <c r="K179" s="21" t="n"/>
      <c r="L179" s="22">
        <f>IF(OR(J179="",K179=""),"",J179*K179)</f>
        <v/>
      </c>
      <c r="M179" s="23">
        <f>IF(L179="","",L179*Panduan!$C$24)</f>
        <v/>
      </c>
      <c r="N179" s="18" t="n"/>
      <c r="O179" s="16" t="n"/>
      <c r="P179" s="16" t="n"/>
    </row>
    <row r="180">
      <c r="A180" s="16" t="n"/>
      <c r="B180" s="18" t="n"/>
      <c r="C180" s="16" t="n"/>
      <c r="D180" s="19">
        <f>IF(C180="","",IFERROR(INDEX('Database Buyer'!$B$3:$B$202,MATCH(C180,'Database Buyer'!$A$3:$A$202,0)),"ID tidak ditemukan"))</f>
        <v/>
      </c>
      <c r="E180" s="19">
        <f>IF(C180="","",IFERROR(INDEX('Database Buyer'!$C$3:$C$202,MATCH(C180,'Database Buyer'!$A$3:$A$202,0)),""))</f>
        <v/>
      </c>
      <c r="F180" s="16" t="n"/>
      <c r="G180" s="16" t="n"/>
      <c r="H180" s="16" t="n"/>
      <c r="I180" s="16" t="n"/>
      <c r="J180" s="20">
        <f>IF(I180="","",I180*Panduan!$C$25)</f>
        <v/>
      </c>
      <c r="K180" s="21" t="n"/>
      <c r="L180" s="22">
        <f>IF(OR(J180="",K180=""),"",J180*K180)</f>
        <v/>
      </c>
      <c r="M180" s="23">
        <f>IF(L180="","",L180*Panduan!$C$24)</f>
        <v/>
      </c>
      <c r="N180" s="18" t="n"/>
      <c r="O180" s="16" t="n"/>
      <c r="P180" s="16" t="n"/>
    </row>
    <row r="181">
      <c r="A181" s="16" t="n"/>
      <c r="B181" s="18" t="n"/>
      <c r="C181" s="16" t="n"/>
      <c r="D181" s="19">
        <f>IF(C181="","",IFERROR(INDEX('Database Buyer'!$B$3:$B$202,MATCH(C181,'Database Buyer'!$A$3:$A$202,0)),"ID tidak ditemukan"))</f>
        <v/>
      </c>
      <c r="E181" s="19">
        <f>IF(C181="","",IFERROR(INDEX('Database Buyer'!$C$3:$C$202,MATCH(C181,'Database Buyer'!$A$3:$A$202,0)),""))</f>
        <v/>
      </c>
      <c r="F181" s="16" t="n"/>
      <c r="G181" s="16" t="n"/>
      <c r="H181" s="16" t="n"/>
      <c r="I181" s="16" t="n"/>
      <c r="J181" s="20">
        <f>IF(I181="","",I181*Panduan!$C$25)</f>
        <v/>
      </c>
      <c r="K181" s="21" t="n"/>
      <c r="L181" s="22">
        <f>IF(OR(J181="",K181=""),"",J181*K181)</f>
        <v/>
      </c>
      <c r="M181" s="23">
        <f>IF(L181="","",L181*Panduan!$C$24)</f>
        <v/>
      </c>
      <c r="N181" s="18" t="n"/>
      <c r="O181" s="16" t="n"/>
      <c r="P181" s="16" t="n"/>
    </row>
    <row r="182">
      <c r="A182" s="16" t="n"/>
      <c r="B182" s="18" t="n"/>
      <c r="C182" s="16" t="n"/>
      <c r="D182" s="19">
        <f>IF(C182="","",IFERROR(INDEX('Database Buyer'!$B$3:$B$202,MATCH(C182,'Database Buyer'!$A$3:$A$202,0)),"ID tidak ditemukan"))</f>
        <v/>
      </c>
      <c r="E182" s="19">
        <f>IF(C182="","",IFERROR(INDEX('Database Buyer'!$C$3:$C$202,MATCH(C182,'Database Buyer'!$A$3:$A$202,0)),""))</f>
        <v/>
      </c>
      <c r="F182" s="16" t="n"/>
      <c r="G182" s="16" t="n"/>
      <c r="H182" s="16" t="n"/>
      <c r="I182" s="16" t="n"/>
      <c r="J182" s="20">
        <f>IF(I182="","",I182*Panduan!$C$25)</f>
        <v/>
      </c>
      <c r="K182" s="21" t="n"/>
      <c r="L182" s="22">
        <f>IF(OR(J182="",K182=""),"",J182*K182)</f>
        <v/>
      </c>
      <c r="M182" s="23">
        <f>IF(L182="","",L182*Panduan!$C$24)</f>
        <v/>
      </c>
      <c r="N182" s="18" t="n"/>
      <c r="O182" s="16" t="n"/>
      <c r="P182" s="16" t="n"/>
    </row>
    <row r="183">
      <c r="A183" s="16" t="n"/>
      <c r="B183" s="18" t="n"/>
      <c r="C183" s="16" t="n"/>
      <c r="D183" s="19">
        <f>IF(C183="","",IFERROR(INDEX('Database Buyer'!$B$3:$B$202,MATCH(C183,'Database Buyer'!$A$3:$A$202,0)),"ID tidak ditemukan"))</f>
        <v/>
      </c>
      <c r="E183" s="19">
        <f>IF(C183="","",IFERROR(INDEX('Database Buyer'!$C$3:$C$202,MATCH(C183,'Database Buyer'!$A$3:$A$202,0)),""))</f>
        <v/>
      </c>
      <c r="F183" s="16" t="n"/>
      <c r="G183" s="16" t="n"/>
      <c r="H183" s="16" t="n"/>
      <c r="I183" s="16" t="n"/>
      <c r="J183" s="20">
        <f>IF(I183="","",I183*Panduan!$C$25)</f>
        <v/>
      </c>
      <c r="K183" s="21" t="n"/>
      <c r="L183" s="22">
        <f>IF(OR(J183="",K183=""),"",J183*K183)</f>
        <v/>
      </c>
      <c r="M183" s="23">
        <f>IF(L183="","",L183*Panduan!$C$24)</f>
        <v/>
      </c>
      <c r="N183" s="18" t="n"/>
      <c r="O183" s="16" t="n"/>
      <c r="P183" s="16" t="n"/>
    </row>
    <row r="184">
      <c r="A184" s="16" t="n"/>
      <c r="B184" s="18" t="n"/>
      <c r="C184" s="16" t="n"/>
      <c r="D184" s="19">
        <f>IF(C184="","",IFERROR(INDEX('Database Buyer'!$B$3:$B$202,MATCH(C184,'Database Buyer'!$A$3:$A$202,0)),"ID tidak ditemukan"))</f>
        <v/>
      </c>
      <c r="E184" s="19">
        <f>IF(C184="","",IFERROR(INDEX('Database Buyer'!$C$3:$C$202,MATCH(C184,'Database Buyer'!$A$3:$A$202,0)),""))</f>
        <v/>
      </c>
      <c r="F184" s="16" t="n"/>
      <c r="G184" s="16" t="n"/>
      <c r="H184" s="16" t="n"/>
      <c r="I184" s="16" t="n"/>
      <c r="J184" s="20">
        <f>IF(I184="","",I184*Panduan!$C$25)</f>
        <v/>
      </c>
      <c r="K184" s="21" t="n"/>
      <c r="L184" s="22">
        <f>IF(OR(J184="",K184=""),"",J184*K184)</f>
        <v/>
      </c>
      <c r="M184" s="23">
        <f>IF(L184="","",L184*Panduan!$C$24)</f>
        <v/>
      </c>
      <c r="N184" s="18" t="n"/>
      <c r="O184" s="16" t="n"/>
      <c r="P184" s="16" t="n"/>
    </row>
    <row r="185">
      <c r="A185" s="16" t="n"/>
      <c r="B185" s="18" t="n"/>
      <c r="C185" s="16" t="n"/>
      <c r="D185" s="19">
        <f>IF(C185="","",IFERROR(INDEX('Database Buyer'!$B$3:$B$202,MATCH(C185,'Database Buyer'!$A$3:$A$202,0)),"ID tidak ditemukan"))</f>
        <v/>
      </c>
      <c r="E185" s="19">
        <f>IF(C185="","",IFERROR(INDEX('Database Buyer'!$C$3:$C$202,MATCH(C185,'Database Buyer'!$A$3:$A$202,0)),""))</f>
        <v/>
      </c>
      <c r="F185" s="16" t="n"/>
      <c r="G185" s="16" t="n"/>
      <c r="H185" s="16" t="n"/>
      <c r="I185" s="16" t="n"/>
      <c r="J185" s="20">
        <f>IF(I185="","",I185*Panduan!$C$25)</f>
        <v/>
      </c>
      <c r="K185" s="21" t="n"/>
      <c r="L185" s="22">
        <f>IF(OR(J185="",K185=""),"",J185*K185)</f>
        <v/>
      </c>
      <c r="M185" s="23">
        <f>IF(L185="","",L185*Panduan!$C$24)</f>
        <v/>
      </c>
      <c r="N185" s="18" t="n"/>
      <c r="O185" s="16" t="n"/>
      <c r="P185" s="16" t="n"/>
    </row>
    <row r="186">
      <c r="A186" s="16" t="n"/>
      <c r="B186" s="18" t="n"/>
      <c r="C186" s="16" t="n"/>
      <c r="D186" s="19">
        <f>IF(C186="","",IFERROR(INDEX('Database Buyer'!$B$3:$B$202,MATCH(C186,'Database Buyer'!$A$3:$A$202,0)),"ID tidak ditemukan"))</f>
        <v/>
      </c>
      <c r="E186" s="19">
        <f>IF(C186="","",IFERROR(INDEX('Database Buyer'!$C$3:$C$202,MATCH(C186,'Database Buyer'!$A$3:$A$202,0)),""))</f>
        <v/>
      </c>
      <c r="F186" s="16" t="n"/>
      <c r="G186" s="16" t="n"/>
      <c r="H186" s="16" t="n"/>
      <c r="I186" s="16" t="n"/>
      <c r="J186" s="20">
        <f>IF(I186="","",I186*Panduan!$C$25)</f>
        <v/>
      </c>
      <c r="K186" s="21" t="n"/>
      <c r="L186" s="22">
        <f>IF(OR(J186="",K186=""),"",J186*K186)</f>
        <v/>
      </c>
      <c r="M186" s="23">
        <f>IF(L186="","",L186*Panduan!$C$24)</f>
        <v/>
      </c>
      <c r="N186" s="18" t="n"/>
      <c r="O186" s="16" t="n"/>
      <c r="P186" s="16" t="n"/>
    </row>
    <row r="187">
      <c r="A187" s="16" t="n"/>
      <c r="B187" s="18" t="n"/>
      <c r="C187" s="16" t="n"/>
      <c r="D187" s="19">
        <f>IF(C187="","",IFERROR(INDEX('Database Buyer'!$B$3:$B$202,MATCH(C187,'Database Buyer'!$A$3:$A$202,0)),"ID tidak ditemukan"))</f>
        <v/>
      </c>
      <c r="E187" s="19">
        <f>IF(C187="","",IFERROR(INDEX('Database Buyer'!$C$3:$C$202,MATCH(C187,'Database Buyer'!$A$3:$A$202,0)),""))</f>
        <v/>
      </c>
      <c r="F187" s="16" t="n"/>
      <c r="G187" s="16" t="n"/>
      <c r="H187" s="16" t="n"/>
      <c r="I187" s="16" t="n"/>
      <c r="J187" s="20">
        <f>IF(I187="","",I187*Panduan!$C$25)</f>
        <v/>
      </c>
      <c r="K187" s="21" t="n"/>
      <c r="L187" s="22">
        <f>IF(OR(J187="",K187=""),"",J187*K187)</f>
        <v/>
      </c>
      <c r="M187" s="23">
        <f>IF(L187="","",L187*Panduan!$C$24)</f>
        <v/>
      </c>
      <c r="N187" s="18" t="n"/>
      <c r="O187" s="16" t="n"/>
      <c r="P187" s="16" t="n"/>
    </row>
    <row r="188">
      <c r="A188" s="16" t="n"/>
      <c r="B188" s="18" t="n"/>
      <c r="C188" s="16" t="n"/>
      <c r="D188" s="19">
        <f>IF(C188="","",IFERROR(INDEX('Database Buyer'!$B$3:$B$202,MATCH(C188,'Database Buyer'!$A$3:$A$202,0)),"ID tidak ditemukan"))</f>
        <v/>
      </c>
      <c r="E188" s="19">
        <f>IF(C188="","",IFERROR(INDEX('Database Buyer'!$C$3:$C$202,MATCH(C188,'Database Buyer'!$A$3:$A$202,0)),""))</f>
        <v/>
      </c>
      <c r="F188" s="16" t="n"/>
      <c r="G188" s="16" t="n"/>
      <c r="H188" s="16" t="n"/>
      <c r="I188" s="16" t="n"/>
      <c r="J188" s="20">
        <f>IF(I188="","",I188*Panduan!$C$25)</f>
        <v/>
      </c>
      <c r="K188" s="21" t="n"/>
      <c r="L188" s="22">
        <f>IF(OR(J188="",K188=""),"",J188*K188)</f>
        <v/>
      </c>
      <c r="M188" s="23">
        <f>IF(L188="","",L188*Panduan!$C$24)</f>
        <v/>
      </c>
      <c r="N188" s="18" t="n"/>
      <c r="O188" s="16" t="n"/>
      <c r="P188" s="16" t="n"/>
    </row>
    <row r="189">
      <c r="A189" s="16" t="n"/>
      <c r="B189" s="18" t="n"/>
      <c r="C189" s="16" t="n"/>
      <c r="D189" s="19">
        <f>IF(C189="","",IFERROR(INDEX('Database Buyer'!$B$3:$B$202,MATCH(C189,'Database Buyer'!$A$3:$A$202,0)),"ID tidak ditemukan"))</f>
        <v/>
      </c>
      <c r="E189" s="19">
        <f>IF(C189="","",IFERROR(INDEX('Database Buyer'!$C$3:$C$202,MATCH(C189,'Database Buyer'!$A$3:$A$202,0)),""))</f>
        <v/>
      </c>
      <c r="F189" s="16" t="n"/>
      <c r="G189" s="16" t="n"/>
      <c r="H189" s="16" t="n"/>
      <c r="I189" s="16" t="n"/>
      <c r="J189" s="20">
        <f>IF(I189="","",I189*Panduan!$C$25)</f>
        <v/>
      </c>
      <c r="K189" s="21" t="n"/>
      <c r="L189" s="22">
        <f>IF(OR(J189="",K189=""),"",J189*K189)</f>
        <v/>
      </c>
      <c r="M189" s="23">
        <f>IF(L189="","",L189*Panduan!$C$24)</f>
        <v/>
      </c>
      <c r="N189" s="18" t="n"/>
      <c r="O189" s="16" t="n"/>
      <c r="P189" s="16" t="n"/>
    </row>
    <row r="190">
      <c r="A190" s="16" t="n"/>
      <c r="B190" s="18" t="n"/>
      <c r="C190" s="16" t="n"/>
      <c r="D190" s="19">
        <f>IF(C190="","",IFERROR(INDEX('Database Buyer'!$B$3:$B$202,MATCH(C190,'Database Buyer'!$A$3:$A$202,0)),"ID tidak ditemukan"))</f>
        <v/>
      </c>
      <c r="E190" s="19">
        <f>IF(C190="","",IFERROR(INDEX('Database Buyer'!$C$3:$C$202,MATCH(C190,'Database Buyer'!$A$3:$A$202,0)),""))</f>
        <v/>
      </c>
      <c r="F190" s="16" t="n"/>
      <c r="G190" s="16" t="n"/>
      <c r="H190" s="16" t="n"/>
      <c r="I190" s="16" t="n"/>
      <c r="J190" s="20">
        <f>IF(I190="","",I190*Panduan!$C$25)</f>
        <v/>
      </c>
      <c r="K190" s="21" t="n"/>
      <c r="L190" s="22">
        <f>IF(OR(J190="",K190=""),"",J190*K190)</f>
        <v/>
      </c>
      <c r="M190" s="23">
        <f>IF(L190="","",L190*Panduan!$C$24)</f>
        <v/>
      </c>
      <c r="N190" s="18" t="n"/>
      <c r="O190" s="16" t="n"/>
      <c r="P190" s="16" t="n"/>
    </row>
    <row r="191">
      <c r="A191" s="16" t="n"/>
      <c r="B191" s="18" t="n"/>
      <c r="C191" s="16" t="n"/>
      <c r="D191" s="19">
        <f>IF(C191="","",IFERROR(INDEX('Database Buyer'!$B$3:$B$202,MATCH(C191,'Database Buyer'!$A$3:$A$202,0)),"ID tidak ditemukan"))</f>
        <v/>
      </c>
      <c r="E191" s="19">
        <f>IF(C191="","",IFERROR(INDEX('Database Buyer'!$C$3:$C$202,MATCH(C191,'Database Buyer'!$A$3:$A$202,0)),""))</f>
        <v/>
      </c>
      <c r="F191" s="16" t="n"/>
      <c r="G191" s="16" t="n"/>
      <c r="H191" s="16" t="n"/>
      <c r="I191" s="16" t="n"/>
      <c r="J191" s="20">
        <f>IF(I191="","",I191*Panduan!$C$25)</f>
        <v/>
      </c>
      <c r="K191" s="21" t="n"/>
      <c r="L191" s="22">
        <f>IF(OR(J191="",K191=""),"",J191*K191)</f>
        <v/>
      </c>
      <c r="M191" s="23">
        <f>IF(L191="","",L191*Panduan!$C$24)</f>
        <v/>
      </c>
      <c r="N191" s="18" t="n"/>
      <c r="O191" s="16" t="n"/>
      <c r="P191" s="16" t="n"/>
    </row>
    <row r="192">
      <c r="A192" s="16" t="n"/>
      <c r="B192" s="18" t="n"/>
      <c r="C192" s="16" t="n"/>
      <c r="D192" s="19">
        <f>IF(C192="","",IFERROR(INDEX('Database Buyer'!$B$3:$B$202,MATCH(C192,'Database Buyer'!$A$3:$A$202,0)),"ID tidak ditemukan"))</f>
        <v/>
      </c>
      <c r="E192" s="19">
        <f>IF(C192="","",IFERROR(INDEX('Database Buyer'!$C$3:$C$202,MATCH(C192,'Database Buyer'!$A$3:$A$202,0)),""))</f>
        <v/>
      </c>
      <c r="F192" s="16" t="n"/>
      <c r="G192" s="16" t="n"/>
      <c r="H192" s="16" t="n"/>
      <c r="I192" s="16" t="n"/>
      <c r="J192" s="20">
        <f>IF(I192="","",I192*Panduan!$C$25)</f>
        <v/>
      </c>
      <c r="K192" s="21" t="n"/>
      <c r="L192" s="22">
        <f>IF(OR(J192="",K192=""),"",J192*K192)</f>
        <v/>
      </c>
      <c r="M192" s="23">
        <f>IF(L192="","",L192*Panduan!$C$24)</f>
        <v/>
      </c>
      <c r="N192" s="18" t="n"/>
      <c r="O192" s="16" t="n"/>
      <c r="P192" s="16" t="n"/>
    </row>
    <row r="193">
      <c r="A193" s="16" t="n"/>
      <c r="B193" s="18" t="n"/>
      <c r="C193" s="16" t="n"/>
      <c r="D193" s="19">
        <f>IF(C193="","",IFERROR(INDEX('Database Buyer'!$B$3:$B$202,MATCH(C193,'Database Buyer'!$A$3:$A$202,0)),"ID tidak ditemukan"))</f>
        <v/>
      </c>
      <c r="E193" s="19">
        <f>IF(C193="","",IFERROR(INDEX('Database Buyer'!$C$3:$C$202,MATCH(C193,'Database Buyer'!$A$3:$A$202,0)),""))</f>
        <v/>
      </c>
      <c r="F193" s="16" t="n"/>
      <c r="G193" s="16" t="n"/>
      <c r="H193" s="16" t="n"/>
      <c r="I193" s="16" t="n"/>
      <c r="J193" s="20">
        <f>IF(I193="","",I193*Panduan!$C$25)</f>
        <v/>
      </c>
      <c r="K193" s="21" t="n"/>
      <c r="L193" s="22">
        <f>IF(OR(J193="",K193=""),"",J193*K193)</f>
        <v/>
      </c>
      <c r="M193" s="23">
        <f>IF(L193="","",L193*Panduan!$C$24)</f>
        <v/>
      </c>
      <c r="N193" s="18" t="n"/>
      <c r="O193" s="16" t="n"/>
      <c r="P193" s="16" t="n"/>
    </row>
    <row r="194">
      <c r="A194" s="16" t="n"/>
      <c r="B194" s="18" t="n"/>
      <c r="C194" s="16" t="n"/>
      <c r="D194" s="19">
        <f>IF(C194="","",IFERROR(INDEX('Database Buyer'!$B$3:$B$202,MATCH(C194,'Database Buyer'!$A$3:$A$202,0)),"ID tidak ditemukan"))</f>
        <v/>
      </c>
      <c r="E194" s="19">
        <f>IF(C194="","",IFERROR(INDEX('Database Buyer'!$C$3:$C$202,MATCH(C194,'Database Buyer'!$A$3:$A$202,0)),""))</f>
        <v/>
      </c>
      <c r="F194" s="16" t="n"/>
      <c r="G194" s="16" t="n"/>
      <c r="H194" s="16" t="n"/>
      <c r="I194" s="16" t="n"/>
      <c r="J194" s="20">
        <f>IF(I194="","",I194*Panduan!$C$25)</f>
        <v/>
      </c>
      <c r="K194" s="21" t="n"/>
      <c r="L194" s="22">
        <f>IF(OR(J194="",K194=""),"",J194*K194)</f>
        <v/>
      </c>
      <c r="M194" s="23">
        <f>IF(L194="","",L194*Panduan!$C$24)</f>
        <v/>
      </c>
      <c r="N194" s="18" t="n"/>
      <c r="O194" s="16" t="n"/>
      <c r="P194" s="16" t="n"/>
    </row>
    <row r="195">
      <c r="A195" s="16" t="n"/>
      <c r="B195" s="18" t="n"/>
      <c r="C195" s="16" t="n"/>
      <c r="D195" s="19">
        <f>IF(C195="","",IFERROR(INDEX('Database Buyer'!$B$3:$B$202,MATCH(C195,'Database Buyer'!$A$3:$A$202,0)),"ID tidak ditemukan"))</f>
        <v/>
      </c>
      <c r="E195" s="19">
        <f>IF(C195="","",IFERROR(INDEX('Database Buyer'!$C$3:$C$202,MATCH(C195,'Database Buyer'!$A$3:$A$202,0)),""))</f>
        <v/>
      </c>
      <c r="F195" s="16" t="n"/>
      <c r="G195" s="16" t="n"/>
      <c r="H195" s="16" t="n"/>
      <c r="I195" s="16" t="n"/>
      <c r="J195" s="20">
        <f>IF(I195="","",I195*Panduan!$C$25)</f>
        <v/>
      </c>
      <c r="K195" s="21" t="n"/>
      <c r="L195" s="22">
        <f>IF(OR(J195="",K195=""),"",J195*K195)</f>
        <v/>
      </c>
      <c r="M195" s="23">
        <f>IF(L195="","",L195*Panduan!$C$24)</f>
        <v/>
      </c>
      <c r="N195" s="18" t="n"/>
      <c r="O195" s="16" t="n"/>
      <c r="P195" s="16" t="n"/>
    </row>
    <row r="196">
      <c r="A196" s="16" t="n"/>
      <c r="B196" s="18" t="n"/>
      <c r="C196" s="16" t="n"/>
      <c r="D196" s="19">
        <f>IF(C196="","",IFERROR(INDEX('Database Buyer'!$B$3:$B$202,MATCH(C196,'Database Buyer'!$A$3:$A$202,0)),"ID tidak ditemukan"))</f>
        <v/>
      </c>
      <c r="E196" s="19">
        <f>IF(C196="","",IFERROR(INDEX('Database Buyer'!$C$3:$C$202,MATCH(C196,'Database Buyer'!$A$3:$A$202,0)),""))</f>
        <v/>
      </c>
      <c r="F196" s="16" t="n"/>
      <c r="G196" s="16" t="n"/>
      <c r="H196" s="16" t="n"/>
      <c r="I196" s="16" t="n"/>
      <c r="J196" s="20">
        <f>IF(I196="","",I196*Panduan!$C$25)</f>
        <v/>
      </c>
      <c r="K196" s="21" t="n"/>
      <c r="L196" s="22">
        <f>IF(OR(J196="",K196=""),"",J196*K196)</f>
        <v/>
      </c>
      <c r="M196" s="23">
        <f>IF(L196="","",L196*Panduan!$C$24)</f>
        <v/>
      </c>
      <c r="N196" s="18" t="n"/>
      <c r="O196" s="16" t="n"/>
      <c r="P196" s="16" t="n"/>
    </row>
    <row r="197">
      <c r="A197" s="16" t="n"/>
      <c r="B197" s="18" t="n"/>
      <c r="C197" s="16" t="n"/>
      <c r="D197" s="19">
        <f>IF(C197="","",IFERROR(INDEX('Database Buyer'!$B$3:$B$202,MATCH(C197,'Database Buyer'!$A$3:$A$202,0)),"ID tidak ditemukan"))</f>
        <v/>
      </c>
      <c r="E197" s="19">
        <f>IF(C197="","",IFERROR(INDEX('Database Buyer'!$C$3:$C$202,MATCH(C197,'Database Buyer'!$A$3:$A$202,0)),""))</f>
        <v/>
      </c>
      <c r="F197" s="16" t="n"/>
      <c r="G197" s="16" t="n"/>
      <c r="H197" s="16" t="n"/>
      <c r="I197" s="16" t="n"/>
      <c r="J197" s="20">
        <f>IF(I197="","",I197*Panduan!$C$25)</f>
        <v/>
      </c>
      <c r="K197" s="21" t="n"/>
      <c r="L197" s="22">
        <f>IF(OR(J197="",K197=""),"",J197*K197)</f>
        <v/>
      </c>
      <c r="M197" s="23">
        <f>IF(L197="","",L197*Panduan!$C$24)</f>
        <v/>
      </c>
      <c r="N197" s="18" t="n"/>
      <c r="O197" s="16" t="n"/>
      <c r="P197" s="16" t="n"/>
    </row>
    <row r="198">
      <c r="A198" s="16" t="n"/>
      <c r="B198" s="18" t="n"/>
      <c r="C198" s="16" t="n"/>
      <c r="D198" s="19">
        <f>IF(C198="","",IFERROR(INDEX('Database Buyer'!$B$3:$B$202,MATCH(C198,'Database Buyer'!$A$3:$A$202,0)),"ID tidak ditemukan"))</f>
        <v/>
      </c>
      <c r="E198" s="19">
        <f>IF(C198="","",IFERROR(INDEX('Database Buyer'!$C$3:$C$202,MATCH(C198,'Database Buyer'!$A$3:$A$202,0)),""))</f>
        <v/>
      </c>
      <c r="F198" s="16" t="n"/>
      <c r="G198" s="16" t="n"/>
      <c r="H198" s="16" t="n"/>
      <c r="I198" s="16" t="n"/>
      <c r="J198" s="20">
        <f>IF(I198="","",I198*Panduan!$C$25)</f>
        <v/>
      </c>
      <c r="K198" s="21" t="n"/>
      <c r="L198" s="22">
        <f>IF(OR(J198="",K198=""),"",J198*K198)</f>
        <v/>
      </c>
      <c r="M198" s="23">
        <f>IF(L198="","",L198*Panduan!$C$24)</f>
        <v/>
      </c>
      <c r="N198" s="18" t="n"/>
      <c r="O198" s="16" t="n"/>
      <c r="P198" s="16" t="n"/>
    </row>
    <row r="199">
      <c r="A199" s="16" t="n"/>
      <c r="B199" s="18" t="n"/>
      <c r="C199" s="16" t="n"/>
      <c r="D199" s="19">
        <f>IF(C199="","",IFERROR(INDEX('Database Buyer'!$B$3:$B$202,MATCH(C199,'Database Buyer'!$A$3:$A$202,0)),"ID tidak ditemukan"))</f>
        <v/>
      </c>
      <c r="E199" s="19">
        <f>IF(C199="","",IFERROR(INDEX('Database Buyer'!$C$3:$C$202,MATCH(C199,'Database Buyer'!$A$3:$A$202,0)),""))</f>
        <v/>
      </c>
      <c r="F199" s="16" t="n"/>
      <c r="G199" s="16" t="n"/>
      <c r="H199" s="16" t="n"/>
      <c r="I199" s="16" t="n"/>
      <c r="J199" s="20">
        <f>IF(I199="","",I199*Panduan!$C$25)</f>
        <v/>
      </c>
      <c r="K199" s="21" t="n"/>
      <c r="L199" s="22">
        <f>IF(OR(J199="",K199=""),"",J199*K199)</f>
        <v/>
      </c>
      <c r="M199" s="23">
        <f>IF(L199="","",L199*Panduan!$C$24)</f>
        <v/>
      </c>
      <c r="N199" s="18" t="n"/>
      <c r="O199" s="16" t="n"/>
      <c r="P199" s="16" t="n"/>
    </row>
    <row r="200">
      <c r="A200" s="16" t="n"/>
      <c r="B200" s="18" t="n"/>
      <c r="C200" s="16" t="n"/>
      <c r="D200" s="19">
        <f>IF(C200="","",IFERROR(INDEX('Database Buyer'!$B$3:$B$202,MATCH(C200,'Database Buyer'!$A$3:$A$202,0)),"ID tidak ditemukan"))</f>
        <v/>
      </c>
      <c r="E200" s="19">
        <f>IF(C200="","",IFERROR(INDEX('Database Buyer'!$C$3:$C$202,MATCH(C200,'Database Buyer'!$A$3:$A$202,0)),""))</f>
        <v/>
      </c>
      <c r="F200" s="16" t="n"/>
      <c r="G200" s="16" t="n"/>
      <c r="H200" s="16" t="n"/>
      <c r="I200" s="16" t="n"/>
      <c r="J200" s="20">
        <f>IF(I200="","",I200*Panduan!$C$25)</f>
        <v/>
      </c>
      <c r="K200" s="21" t="n"/>
      <c r="L200" s="22">
        <f>IF(OR(J200="",K200=""),"",J200*K200)</f>
        <v/>
      </c>
      <c r="M200" s="23">
        <f>IF(L200="","",L200*Panduan!$C$24)</f>
        <v/>
      </c>
      <c r="N200" s="18" t="n"/>
      <c r="O200" s="16" t="n"/>
      <c r="P200" s="16" t="n"/>
    </row>
    <row r="201">
      <c r="A201" s="16" t="n"/>
      <c r="B201" s="18" t="n"/>
      <c r="C201" s="16" t="n"/>
      <c r="D201" s="19">
        <f>IF(C201="","",IFERROR(INDEX('Database Buyer'!$B$3:$B$202,MATCH(C201,'Database Buyer'!$A$3:$A$202,0)),"ID tidak ditemukan"))</f>
        <v/>
      </c>
      <c r="E201" s="19">
        <f>IF(C201="","",IFERROR(INDEX('Database Buyer'!$C$3:$C$202,MATCH(C201,'Database Buyer'!$A$3:$A$202,0)),""))</f>
        <v/>
      </c>
      <c r="F201" s="16" t="n"/>
      <c r="G201" s="16" t="n"/>
      <c r="H201" s="16" t="n"/>
      <c r="I201" s="16" t="n"/>
      <c r="J201" s="20">
        <f>IF(I201="","",I201*Panduan!$C$25)</f>
        <v/>
      </c>
      <c r="K201" s="21" t="n"/>
      <c r="L201" s="22">
        <f>IF(OR(J201="",K201=""),"",J201*K201)</f>
        <v/>
      </c>
      <c r="M201" s="23">
        <f>IF(L201="","",L201*Panduan!$C$24)</f>
        <v/>
      </c>
      <c r="N201" s="18" t="n"/>
      <c r="O201" s="16" t="n"/>
      <c r="P201" s="16" t="n"/>
    </row>
    <row r="202">
      <c r="A202" s="16" t="n"/>
      <c r="B202" s="18" t="n"/>
      <c r="C202" s="16" t="n"/>
      <c r="D202" s="19">
        <f>IF(C202="","",IFERROR(INDEX('Database Buyer'!$B$3:$B$202,MATCH(C202,'Database Buyer'!$A$3:$A$202,0)),"ID tidak ditemukan"))</f>
        <v/>
      </c>
      <c r="E202" s="19">
        <f>IF(C202="","",IFERROR(INDEX('Database Buyer'!$C$3:$C$202,MATCH(C202,'Database Buyer'!$A$3:$A$202,0)),""))</f>
        <v/>
      </c>
      <c r="F202" s="16" t="n"/>
      <c r="G202" s="16" t="n"/>
      <c r="H202" s="16" t="n"/>
      <c r="I202" s="16" t="n"/>
      <c r="J202" s="20">
        <f>IF(I202="","",I202*Panduan!$C$25)</f>
        <v/>
      </c>
      <c r="K202" s="21" t="n"/>
      <c r="L202" s="22">
        <f>IF(OR(J202="",K202=""),"",J202*K202)</f>
        <v/>
      </c>
      <c r="M202" s="23">
        <f>IF(L202="","",L202*Panduan!$C$24)</f>
        <v/>
      </c>
      <c r="N202" s="18" t="n"/>
      <c r="O202" s="16" t="n"/>
      <c r="P202" s="16" t="n"/>
    </row>
  </sheetData>
  <dataValidations count="4">
    <dataValidation sqref="F3:F202" showDropDown="0" showInputMessage="0" showErrorMessage="0" allowBlank="1" type="list">
      <formula1>"FOB,CFR,CIF,DAP"</formula1>
    </dataValidation>
    <dataValidation sqref="H3:H202" showDropDown="0" showInputMessage="0" showErrorMessage="0" allowBlank="1" type="list">
      <formula1>"25 mm,26 mm,27 mm,Hexagonal,Campur"</formula1>
    </dataValidation>
    <dataValidation sqref="O3:O202" showDropDown="0" showInputMessage="0" showErrorMessage="0" allowBlank="1" type="list">
      <formula1>"Draft,Terkirim,Negosiasi,Diterima,Ditolak,Kedaluwarsa"</formula1>
    </dataValidation>
    <dataValidation sqref="C3:C202" showDropDown="0" showInputMessage="0" showErrorMessage="0" allowBlank="1" type="list">
      <formula1>='Database Buyer'!$A$3:$A$202</formula1>
    </dataValidation>
  </dataValidations>
  <pageMargins left="0.75" right="0.75" top="1" bottom="1" header="0.5" footer="0.5"/>
  <tableParts count="1">
    <tablePart xmlns:r="http://schemas.openxmlformats.org/officeDocument/2006/relationships" r:id="rId1"/>
  </tableParts>
</worksheet>
</file>

<file path=xl/worksheets/sheet6.xml><?xml version="1.0" encoding="utf-8"?>
<worksheet xmlns="http://schemas.openxmlformats.org/spreadsheetml/2006/main">
  <sheetPr>
    <tabColor rgb="008EA9DB"/>
    <outlinePr summaryBelow="1" summaryRight="1"/>
    <pageSetUpPr/>
  </sheetPr>
  <dimension ref="B2:J18"/>
  <sheetViews>
    <sheetView showGridLines="0" workbookViewId="0">
      <selection activeCell="A1" sqref="A1"/>
    </sheetView>
  </sheetViews>
  <sheetFormatPr baseColWidth="8" defaultRowHeight="15"/>
  <cols>
    <col width="3" customWidth="1" min="1" max="1"/>
    <col width="16" customWidth="1" min="2" max="2"/>
    <col width="11" customWidth="1" min="3" max="3"/>
    <col width="10" customWidth="1" min="4" max="4"/>
    <col width="10" customWidth="1" min="5" max="5"/>
    <col width="10" customWidth="1" min="6" max="6"/>
    <col width="13" customWidth="1" min="7" max="7"/>
    <col width="9" customWidth="1" min="8" max="8"/>
    <col width="16" customWidth="1" min="9" max="9"/>
    <col width="16" customWidth="1" min="10" max="10"/>
  </cols>
  <sheetData>
    <row r="2">
      <c r="B2" s="9" t="inlineStr">
        <is>
          <t>RINGKASAN</t>
        </is>
      </c>
    </row>
    <row r="4">
      <c r="B4" s="24" t="inlineStr">
        <is>
          <t>Negara</t>
        </is>
      </c>
      <c r="C4" s="24" t="inlineStr">
        <is>
          <t>Jml Buyer</t>
        </is>
      </c>
      <c r="D4" s="24" t="inlineStr">
        <is>
          <t>Prior. A</t>
        </is>
      </c>
      <c r="E4" s="24" t="inlineStr">
        <is>
          <t>Prior. B</t>
        </is>
      </c>
      <c r="F4" s="24" t="inlineStr">
        <is>
          <t>Prior. C</t>
        </is>
      </c>
      <c r="G4" s="24" t="inlineStr">
        <is>
          <t>Sudah Kontak</t>
        </is>
      </c>
      <c r="H4" s="24" t="inlineStr">
        <is>
          <t>Deal</t>
        </is>
      </c>
      <c r="I4" s="24" t="inlineStr">
        <is>
          <t>Penawaran (USD)</t>
        </is>
      </c>
      <c r="J4" s="24" t="inlineStr">
        <is>
          <t>Diterima (USD)</t>
        </is>
      </c>
    </row>
    <row r="5">
      <c r="B5" s="19" t="inlineStr">
        <is>
          <t>UAE</t>
        </is>
      </c>
      <c r="C5" s="25">
        <f>COUNTIF('Database Buyer'!$C$3:$C$202,$B5)</f>
        <v/>
      </c>
      <c r="D5" s="25">
        <f>COUNTIFS('Database Buyer'!$C$3:$C$202,$B5,'Database Buyer'!$F$3:$F$202,"A")</f>
        <v/>
      </c>
      <c r="E5" s="25">
        <f>COUNTIFS('Database Buyer'!$C$3:$C$202,$B5,'Database Buyer'!$F$3:$F$202,"B")</f>
        <v/>
      </c>
      <c r="F5" s="25">
        <f>COUNTIFS('Database Buyer'!$C$3:$C$202,$B5,'Database Buyer'!$F$3:$F$202,"C")</f>
        <v/>
      </c>
      <c r="G5" s="25">
        <f>C5-COUNTIFS('Database Buyer'!$C$3:$C$202,$B5,'Database Buyer'!$L$3:$L$202,"Baru")</f>
        <v/>
      </c>
      <c r="H5" s="25">
        <f>COUNTIFS('Database Buyer'!$C$3:$C$202,$B5,'Database Buyer'!$L$3:$L$202,"Deal")</f>
        <v/>
      </c>
      <c r="I5" s="22">
        <f>SUMIFS(Penawaran!$L$3:$L$202,Penawaran!$E$3:$E$202,$B5)</f>
        <v/>
      </c>
      <c r="J5" s="22">
        <f>SUMIFS(Penawaran!$L$3:$L$202,Penawaran!$E$3:$E$202,$B5,Penawaran!$O$3:$O$202,"Diterima")</f>
        <v/>
      </c>
    </row>
    <row r="6">
      <c r="B6" s="19" t="inlineStr">
        <is>
          <t>Saudi Arabia</t>
        </is>
      </c>
      <c r="C6" s="25">
        <f>COUNTIF('Database Buyer'!$C$3:$C$202,$B6)</f>
        <v/>
      </c>
      <c r="D6" s="25">
        <f>COUNTIFS('Database Buyer'!$C$3:$C$202,$B6,'Database Buyer'!$F$3:$F$202,"A")</f>
        <v/>
      </c>
      <c r="E6" s="25">
        <f>COUNTIFS('Database Buyer'!$C$3:$C$202,$B6,'Database Buyer'!$F$3:$F$202,"B")</f>
        <v/>
      </c>
      <c r="F6" s="25">
        <f>COUNTIFS('Database Buyer'!$C$3:$C$202,$B6,'Database Buyer'!$F$3:$F$202,"C")</f>
        <v/>
      </c>
      <c r="G6" s="25">
        <f>C6-COUNTIFS('Database Buyer'!$C$3:$C$202,$B6,'Database Buyer'!$L$3:$L$202,"Baru")</f>
        <v/>
      </c>
      <c r="H6" s="25">
        <f>COUNTIFS('Database Buyer'!$C$3:$C$202,$B6,'Database Buyer'!$L$3:$L$202,"Deal")</f>
        <v/>
      </c>
      <c r="I6" s="22">
        <f>SUMIFS(Penawaran!$L$3:$L$202,Penawaran!$E$3:$E$202,$B6)</f>
        <v/>
      </c>
      <c r="J6" s="22">
        <f>SUMIFS(Penawaran!$L$3:$L$202,Penawaran!$E$3:$E$202,$B6,Penawaran!$O$3:$O$202,"Diterima")</f>
        <v/>
      </c>
    </row>
    <row r="7">
      <c r="B7" s="19" t="inlineStr">
        <is>
          <t>Jordan</t>
        </is>
      </c>
      <c r="C7" s="25">
        <f>COUNTIF('Database Buyer'!$C$3:$C$202,$B7)</f>
        <v/>
      </c>
      <c r="D7" s="25">
        <f>COUNTIFS('Database Buyer'!$C$3:$C$202,$B7,'Database Buyer'!$F$3:$F$202,"A")</f>
        <v/>
      </c>
      <c r="E7" s="25">
        <f>COUNTIFS('Database Buyer'!$C$3:$C$202,$B7,'Database Buyer'!$F$3:$F$202,"B")</f>
        <v/>
      </c>
      <c r="F7" s="25">
        <f>COUNTIFS('Database Buyer'!$C$3:$C$202,$B7,'Database Buyer'!$F$3:$F$202,"C")</f>
        <v/>
      </c>
      <c r="G7" s="25">
        <f>C7-COUNTIFS('Database Buyer'!$C$3:$C$202,$B7,'Database Buyer'!$L$3:$L$202,"Baru")</f>
        <v/>
      </c>
      <c r="H7" s="25">
        <f>COUNTIFS('Database Buyer'!$C$3:$C$202,$B7,'Database Buyer'!$L$3:$L$202,"Deal")</f>
        <v/>
      </c>
      <c r="I7" s="22">
        <f>SUMIFS(Penawaran!$L$3:$L$202,Penawaran!$E$3:$E$202,$B7)</f>
        <v/>
      </c>
      <c r="J7" s="22">
        <f>SUMIFS(Penawaran!$L$3:$L$202,Penawaran!$E$3:$E$202,$B7,Penawaran!$O$3:$O$202,"Diterima")</f>
        <v/>
      </c>
    </row>
    <row r="8">
      <c r="B8" s="19" t="inlineStr">
        <is>
          <t>Lebanon</t>
        </is>
      </c>
      <c r="C8" s="25">
        <f>COUNTIF('Database Buyer'!$C$3:$C$202,$B8)</f>
        <v/>
      </c>
      <c r="D8" s="25">
        <f>COUNTIFS('Database Buyer'!$C$3:$C$202,$B8,'Database Buyer'!$F$3:$F$202,"A")</f>
        <v/>
      </c>
      <c r="E8" s="25">
        <f>COUNTIFS('Database Buyer'!$C$3:$C$202,$B8,'Database Buyer'!$F$3:$F$202,"B")</f>
        <v/>
      </c>
      <c r="F8" s="25">
        <f>COUNTIFS('Database Buyer'!$C$3:$C$202,$B8,'Database Buyer'!$F$3:$F$202,"C")</f>
        <v/>
      </c>
      <c r="G8" s="25">
        <f>C8-COUNTIFS('Database Buyer'!$C$3:$C$202,$B8,'Database Buyer'!$L$3:$L$202,"Baru")</f>
        <v/>
      </c>
      <c r="H8" s="25">
        <f>COUNTIFS('Database Buyer'!$C$3:$C$202,$B8,'Database Buyer'!$L$3:$L$202,"Deal")</f>
        <v/>
      </c>
      <c r="I8" s="22">
        <f>SUMIFS(Penawaran!$L$3:$L$202,Penawaran!$E$3:$E$202,$B8)</f>
        <v/>
      </c>
      <c r="J8" s="22">
        <f>SUMIFS(Penawaran!$L$3:$L$202,Penawaran!$E$3:$E$202,$B8,Penawaran!$O$3:$O$202,"Diterima")</f>
        <v/>
      </c>
    </row>
    <row r="9">
      <c r="B9" s="19" t="inlineStr">
        <is>
          <t>Egypt</t>
        </is>
      </c>
      <c r="C9" s="25">
        <f>COUNTIF('Database Buyer'!$C$3:$C$202,$B9)</f>
        <v/>
      </c>
      <c r="D9" s="25">
        <f>COUNTIFS('Database Buyer'!$C$3:$C$202,$B9,'Database Buyer'!$F$3:$F$202,"A")</f>
        <v/>
      </c>
      <c r="E9" s="25">
        <f>COUNTIFS('Database Buyer'!$C$3:$C$202,$B9,'Database Buyer'!$F$3:$F$202,"B")</f>
        <v/>
      </c>
      <c r="F9" s="25">
        <f>COUNTIFS('Database Buyer'!$C$3:$C$202,$B9,'Database Buyer'!$F$3:$F$202,"C")</f>
        <v/>
      </c>
      <c r="G9" s="25">
        <f>C9-COUNTIFS('Database Buyer'!$C$3:$C$202,$B9,'Database Buyer'!$L$3:$L$202,"Baru")</f>
        <v/>
      </c>
      <c r="H9" s="25">
        <f>COUNTIFS('Database Buyer'!$C$3:$C$202,$B9,'Database Buyer'!$L$3:$L$202,"Deal")</f>
        <v/>
      </c>
      <c r="I9" s="22">
        <f>SUMIFS(Penawaran!$L$3:$L$202,Penawaran!$E$3:$E$202,$B9)</f>
        <v/>
      </c>
      <c r="J9" s="22">
        <f>SUMIFS(Penawaran!$L$3:$L$202,Penawaran!$E$3:$E$202,$B9,Penawaran!$O$3:$O$202,"Diterima")</f>
        <v/>
      </c>
    </row>
    <row r="10">
      <c r="B10" s="19" t="inlineStr">
        <is>
          <t>Iraq</t>
        </is>
      </c>
      <c r="C10" s="25">
        <f>COUNTIF('Database Buyer'!$C$3:$C$202,$B10)</f>
        <v/>
      </c>
      <c r="D10" s="25">
        <f>COUNTIFS('Database Buyer'!$C$3:$C$202,$B10,'Database Buyer'!$F$3:$F$202,"A")</f>
        <v/>
      </c>
      <c r="E10" s="25">
        <f>COUNTIFS('Database Buyer'!$C$3:$C$202,$B10,'Database Buyer'!$F$3:$F$202,"B")</f>
        <v/>
      </c>
      <c r="F10" s="25">
        <f>COUNTIFS('Database Buyer'!$C$3:$C$202,$B10,'Database Buyer'!$F$3:$F$202,"C")</f>
        <v/>
      </c>
      <c r="G10" s="25">
        <f>C10-COUNTIFS('Database Buyer'!$C$3:$C$202,$B10,'Database Buyer'!$L$3:$L$202,"Baru")</f>
        <v/>
      </c>
      <c r="H10" s="25">
        <f>COUNTIFS('Database Buyer'!$C$3:$C$202,$B10,'Database Buyer'!$L$3:$L$202,"Deal")</f>
        <v/>
      </c>
      <c r="I10" s="22">
        <f>SUMIFS(Penawaran!$L$3:$L$202,Penawaran!$E$3:$E$202,$B10)</f>
        <v/>
      </c>
      <c r="J10" s="22">
        <f>SUMIFS(Penawaran!$L$3:$L$202,Penawaran!$E$3:$E$202,$B10,Penawaran!$O$3:$O$202,"Diterima")</f>
        <v/>
      </c>
    </row>
    <row r="11">
      <c r="B11" s="19" t="inlineStr">
        <is>
          <t>Kuwait</t>
        </is>
      </c>
      <c r="C11" s="25">
        <f>COUNTIF('Database Buyer'!$C$3:$C$202,$B11)</f>
        <v/>
      </c>
      <c r="D11" s="25">
        <f>COUNTIFS('Database Buyer'!$C$3:$C$202,$B11,'Database Buyer'!$F$3:$F$202,"A")</f>
        <v/>
      </c>
      <c r="E11" s="25">
        <f>COUNTIFS('Database Buyer'!$C$3:$C$202,$B11,'Database Buyer'!$F$3:$F$202,"B")</f>
        <v/>
      </c>
      <c r="F11" s="25">
        <f>COUNTIFS('Database Buyer'!$C$3:$C$202,$B11,'Database Buyer'!$F$3:$F$202,"C")</f>
        <v/>
      </c>
      <c r="G11" s="25">
        <f>C11-COUNTIFS('Database Buyer'!$C$3:$C$202,$B11,'Database Buyer'!$L$3:$L$202,"Baru")</f>
        <v/>
      </c>
      <c r="H11" s="25">
        <f>COUNTIFS('Database Buyer'!$C$3:$C$202,$B11,'Database Buyer'!$L$3:$L$202,"Deal")</f>
        <v/>
      </c>
      <c r="I11" s="22">
        <f>SUMIFS(Penawaran!$L$3:$L$202,Penawaran!$E$3:$E$202,$B11)</f>
        <v/>
      </c>
      <c r="J11" s="22">
        <f>SUMIFS(Penawaran!$L$3:$L$202,Penawaran!$E$3:$E$202,$B11,Penawaran!$O$3:$O$202,"Diterima")</f>
        <v/>
      </c>
    </row>
    <row r="12">
      <c r="B12" s="19" t="inlineStr">
        <is>
          <t>Qatar</t>
        </is>
      </c>
      <c r="C12" s="25">
        <f>COUNTIF('Database Buyer'!$C$3:$C$202,$B12)</f>
        <v/>
      </c>
      <c r="D12" s="25">
        <f>COUNTIFS('Database Buyer'!$C$3:$C$202,$B12,'Database Buyer'!$F$3:$F$202,"A")</f>
        <v/>
      </c>
      <c r="E12" s="25">
        <f>COUNTIFS('Database Buyer'!$C$3:$C$202,$B12,'Database Buyer'!$F$3:$F$202,"B")</f>
        <v/>
      </c>
      <c r="F12" s="25">
        <f>COUNTIFS('Database Buyer'!$C$3:$C$202,$B12,'Database Buyer'!$F$3:$F$202,"C")</f>
        <v/>
      </c>
      <c r="G12" s="25">
        <f>C12-COUNTIFS('Database Buyer'!$C$3:$C$202,$B12,'Database Buyer'!$L$3:$L$202,"Baru")</f>
        <v/>
      </c>
      <c r="H12" s="25">
        <f>COUNTIFS('Database Buyer'!$C$3:$C$202,$B12,'Database Buyer'!$L$3:$L$202,"Deal")</f>
        <v/>
      </c>
      <c r="I12" s="22">
        <f>SUMIFS(Penawaran!$L$3:$L$202,Penawaran!$E$3:$E$202,$B12)</f>
        <v/>
      </c>
      <c r="J12" s="22">
        <f>SUMIFS(Penawaran!$L$3:$L$202,Penawaran!$E$3:$E$202,$B12,Penawaran!$O$3:$O$202,"Diterima")</f>
        <v/>
      </c>
    </row>
    <row r="13">
      <c r="B13" s="19" t="inlineStr">
        <is>
          <t>Oman</t>
        </is>
      </c>
      <c r="C13" s="25">
        <f>COUNTIF('Database Buyer'!$C$3:$C$202,$B13)</f>
        <v/>
      </c>
      <c r="D13" s="25">
        <f>COUNTIFS('Database Buyer'!$C$3:$C$202,$B13,'Database Buyer'!$F$3:$F$202,"A")</f>
        <v/>
      </c>
      <c r="E13" s="25">
        <f>COUNTIFS('Database Buyer'!$C$3:$C$202,$B13,'Database Buyer'!$F$3:$F$202,"B")</f>
        <v/>
      </c>
      <c r="F13" s="25">
        <f>COUNTIFS('Database Buyer'!$C$3:$C$202,$B13,'Database Buyer'!$F$3:$F$202,"C")</f>
        <v/>
      </c>
      <c r="G13" s="25">
        <f>C13-COUNTIFS('Database Buyer'!$C$3:$C$202,$B13,'Database Buyer'!$L$3:$L$202,"Baru")</f>
        <v/>
      </c>
      <c r="H13" s="25">
        <f>COUNTIFS('Database Buyer'!$C$3:$C$202,$B13,'Database Buyer'!$L$3:$L$202,"Deal")</f>
        <v/>
      </c>
      <c r="I13" s="22">
        <f>SUMIFS(Penawaran!$L$3:$L$202,Penawaran!$E$3:$E$202,$B13)</f>
        <v/>
      </c>
      <c r="J13" s="22">
        <f>SUMIFS(Penawaran!$L$3:$L$202,Penawaran!$E$3:$E$202,$B13,Penawaran!$O$3:$O$202,"Diterima")</f>
        <v/>
      </c>
    </row>
    <row r="14">
      <c r="B14" s="19" t="inlineStr">
        <is>
          <t>Bahrain</t>
        </is>
      </c>
      <c r="C14" s="25">
        <f>COUNTIF('Database Buyer'!$C$3:$C$202,$B14)</f>
        <v/>
      </c>
      <c r="D14" s="25">
        <f>COUNTIFS('Database Buyer'!$C$3:$C$202,$B14,'Database Buyer'!$F$3:$F$202,"A")</f>
        <v/>
      </c>
      <c r="E14" s="25">
        <f>COUNTIFS('Database Buyer'!$C$3:$C$202,$B14,'Database Buyer'!$F$3:$F$202,"B")</f>
        <v/>
      </c>
      <c r="F14" s="25">
        <f>COUNTIFS('Database Buyer'!$C$3:$C$202,$B14,'Database Buyer'!$F$3:$F$202,"C")</f>
        <v/>
      </c>
      <c r="G14" s="25">
        <f>C14-COUNTIFS('Database Buyer'!$C$3:$C$202,$B14,'Database Buyer'!$L$3:$L$202,"Baru")</f>
        <v/>
      </c>
      <c r="H14" s="25">
        <f>COUNTIFS('Database Buyer'!$C$3:$C$202,$B14,'Database Buyer'!$L$3:$L$202,"Deal")</f>
        <v/>
      </c>
      <c r="I14" s="22">
        <f>SUMIFS(Penawaran!$L$3:$L$202,Penawaran!$E$3:$E$202,$B14)</f>
        <v/>
      </c>
      <c r="J14" s="22">
        <f>SUMIFS(Penawaran!$L$3:$L$202,Penawaran!$E$3:$E$202,$B14,Penawaran!$O$3:$O$202,"Diterima")</f>
        <v/>
      </c>
    </row>
    <row r="15">
      <c r="B15" s="26" t="inlineStr">
        <is>
          <t>TOTAL</t>
        </is>
      </c>
      <c r="C15" s="27">
        <f>SUM(C5:C14)</f>
        <v/>
      </c>
      <c r="D15" s="27">
        <f>SUM(D5:D14)</f>
        <v/>
      </c>
      <c r="E15" s="27">
        <f>SUM(E5:E14)</f>
        <v/>
      </c>
      <c r="F15" s="27">
        <f>SUM(F5:F14)</f>
        <v/>
      </c>
      <c r="G15" s="27">
        <f>SUM(G5:G14)</f>
        <v/>
      </c>
      <c r="H15" s="27">
        <f>SUM(H5:H14)</f>
        <v/>
      </c>
      <c r="I15" s="28">
        <f>SUM(I5:I14)</f>
        <v/>
      </c>
      <c r="J15" s="28">
        <f>SUM(J5:J14)</f>
        <v/>
      </c>
    </row>
    <row r="17">
      <c r="B17" s="7" t="inlineStr">
        <is>
          <t>Follow-up jatuh tempo (hari ini/lewat):</t>
        </is>
      </c>
      <c r="G17" s="29">
        <f>COUNTIFS('Database Buyer'!$M$3:$M$202,"&lt;="&amp;TODAY(),'Database Buyer'!$L$3:$L$202,"&lt;&gt;Deal",'Database Buyer'!$L$3:$L$202,"&lt;&gt;Tidak Tertarik")</f>
        <v/>
      </c>
    </row>
    <row r="18">
      <c r="B18" s="2" t="inlineStr">
        <is>
          <t>Iraq, Kuwait, Qatar, Oman, Bahrain belum punya nama buyer terverifikasi; tambahkan dari sheet Sumber Lead.</t>
        </is>
      </c>
    </row>
  </sheetData>
  <pageMargins left="0.75" right="0.75" top="1" bottom="1" header="0.5" footer="0.5"/>
</worksheet>
</file>

<file path=xl/worksheets/sheet7.xml><?xml version="1.0" encoding="utf-8"?>
<worksheet xmlns="http://schemas.openxmlformats.org/spreadsheetml/2006/main">
  <sheetPr>
    <tabColor rgb="008EA9DB"/>
    <outlinePr summaryBelow="1" summaryRight="1"/>
    <pageSetUpPr/>
  </sheetPr>
  <dimension ref="A1:D13"/>
  <sheetViews>
    <sheetView showGridLines="0" workbookViewId="0">
      <selection activeCell="A1" sqref="A1"/>
    </sheetView>
  </sheetViews>
  <sheetFormatPr baseColWidth="8" defaultRowHeight="15"/>
  <cols>
    <col width="16" customWidth="1" min="1" max="1"/>
    <col width="42" customWidth="1" min="2" max="2"/>
    <col width="70" customWidth="1" min="3" max="3"/>
    <col width="10" customWidth="1" min="4" max="4"/>
  </cols>
  <sheetData>
    <row r="1">
      <c r="A1" s="9" t="inlineStr">
        <is>
          <t>CHECKLIST SYARAT EKSPOR BRIKET SHISHA</t>
        </is>
      </c>
    </row>
    <row r="2">
      <c r="A2" s="2" t="inlineStr">
        <is>
          <t>Ringkasan umum. Konfirmasi ke forwarder, buyer, dan ITPC karena aturan tiap negara bisa berubah.</t>
        </is>
      </c>
    </row>
    <row r="3">
      <c r="A3" s="15" t="inlineStr">
        <is>
          <t>Tahap</t>
        </is>
      </c>
      <c r="B3" s="15" t="inlineStr">
        <is>
          <t>Persyaratan</t>
        </is>
      </c>
      <c r="C3" s="15" t="inlineStr">
        <is>
          <t>Keterangan</t>
        </is>
      </c>
      <c r="D3" s="15" t="inlineStr">
        <is>
          <t>Siap? ✓</t>
        </is>
      </c>
    </row>
    <row r="4">
      <c r="A4" s="11" t="inlineStr">
        <is>
          <t>Legalitas</t>
        </is>
      </c>
      <c r="B4" s="11" t="inlineStr">
        <is>
          <t>NIB dengan KBLI yang mencakup ekspor</t>
        </is>
      </c>
      <c r="C4" s="11" t="inlineStr">
        <is>
          <t>Daftar lewat OSS; dipakai untuk PEB (Pemberitahuan Ekspor Barang).</t>
        </is>
      </c>
      <c r="D4" s="16" t="inlineStr">
        <is>
          <t>Belum</t>
        </is>
      </c>
    </row>
    <row r="5">
      <c r="A5" s="11" t="inlineStr">
        <is>
          <t>Produk</t>
        </is>
      </c>
      <c r="B5" s="11" t="inlineStr">
        <is>
          <t>Kode HS 4402.20</t>
        </is>
      </c>
      <c r="C5" s="11" t="inlineStr">
        <is>
          <t>Arang dari tempurung atau biji. Pastikan forwarder memakai kode yang sama di semua dokumen.</t>
        </is>
      </c>
      <c r="D5" s="16" t="inlineStr">
        <is>
          <t>Belum</t>
        </is>
      </c>
    </row>
    <row r="6">
      <c r="A6" s="11" t="inlineStr">
        <is>
          <t>Produk</t>
        </is>
      </c>
      <c r="B6" s="11" t="inlineStr">
        <is>
          <t>Certificate of Analysis (COA)</t>
        </is>
      </c>
      <c r="C6" s="11" t="inlineStr">
        <is>
          <t>Uji lab: kadar abu, air, karbon terikat, nilai kalor, waktu bakar. Buyer hampir selalu memintanya.</t>
        </is>
      </c>
      <c r="D6" s="16" t="inlineStr">
        <is>
          <t>Belum</t>
        </is>
      </c>
    </row>
    <row r="7">
      <c r="A7" s="11" t="inlineStr">
        <is>
          <t>Pengiriman</t>
        </is>
      </c>
      <c r="B7" s="11" t="inlineStr">
        <is>
          <t>MSDS + uji self-heating (UN Test N.4)</t>
        </is>
      </c>
      <c r="C7" s="11" t="inlineStr">
        <is>
          <t>Arang berpotensi dikategorikan barang berbahaya (kelas 4.2). Hasil uji 'non-dangerous' membuat kapal mau menerima muatan.</t>
        </is>
      </c>
      <c r="D7" s="16" t="inlineStr">
        <is>
          <t>Belum</t>
        </is>
      </c>
    </row>
    <row r="8">
      <c r="A8" s="11" t="inlineStr">
        <is>
          <t>Pengiriman</t>
        </is>
      </c>
      <c r="B8" s="11" t="inlineStr">
        <is>
          <t>Fumigasi / pengeringan &amp; pendinginan</t>
        </is>
      </c>
      <c r="C8" s="11" t="inlineStr">
        <is>
          <t>Briket harus kering dan dingin sebelum dikemas; banyak pelayaran minta surat keterangan suhu.</t>
        </is>
      </c>
      <c r="D8" s="16" t="inlineStr">
        <is>
          <t>Belum</t>
        </is>
      </c>
    </row>
    <row r="9">
      <c r="A9" s="11" t="inlineStr">
        <is>
          <t>Dokumen</t>
        </is>
      </c>
      <c r="B9" s="11" t="inlineStr">
        <is>
          <t>Commercial Invoice, Packing List, B/L</t>
        </is>
      </c>
      <c r="C9" s="11" t="inlineStr">
        <is>
          <t>Standar ekspor; nama barang &amp; berat harus sama persis di semua dokumen.</t>
        </is>
      </c>
      <c r="D9" s="16" t="inlineStr">
        <is>
          <t>Belum</t>
        </is>
      </c>
    </row>
    <row r="10">
      <c r="A10" s="11" t="inlineStr">
        <is>
          <t>Dokumen</t>
        </is>
      </c>
      <c r="B10" s="11" t="inlineStr">
        <is>
          <t>Certificate of Origin (SKA)</t>
        </is>
      </c>
      <c r="C10" s="11" t="inlineStr">
        <is>
          <t>Dari instansi penerbit SKA (via e-SKA Kemendag). Dibutuhkan untuk bea masuk di negara tujuan.</t>
        </is>
      </c>
      <c r="D10" s="16" t="inlineStr">
        <is>
          <t>Belum</t>
        </is>
      </c>
    </row>
    <row r="11">
      <c r="A11" s="11" t="inlineStr">
        <is>
          <t>Saudi Arabia</t>
        </is>
      </c>
      <c r="B11" s="11" t="inlineStr">
        <is>
          <t>Registrasi produk di platform SABER (SASO)</t>
        </is>
      </c>
      <c r="C11" s="11" t="inlineStr">
        <is>
          <t>Biasanya diurus importir; tanyakan apakah mereka butuh sertifikat dari Anda.</t>
        </is>
      </c>
      <c r="D11" s="16" t="inlineStr">
        <is>
          <t>Belum</t>
        </is>
      </c>
    </row>
    <row r="12">
      <c r="A12" s="11" t="inlineStr">
        <is>
          <t>Mesir</t>
        </is>
      </c>
      <c r="B12" s="11" t="inlineStr">
        <is>
          <t>Registrasi pabrik di GOEIC (jika diminta)</t>
        </is>
      </c>
      <c r="C12" s="11" t="inlineStr">
        <is>
          <t>Beberapa produk konsumen wajib terdaftar; konfirmasi ke importir Mesir.</t>
        </is>
      </c>
      <c r="D12" s="16" t="inlineStr">
        <is>
          <t>Belum</t>
        </is>
      </c>
    </row>
    <row r="13">
      <c r="A13" s="11" t="inlineStr">
        <is>
          <t>Pembayaran</t>
        </is>
      </c>
      <c r="B13" s="11" t="inlineStr">
        <is>
          <t>Skema T/T deposit atau L/C at sight</t>
        </is>
      </c>
      <c r="C13" s="11" t="inlineStr">
        <is>
          <t>Untuk buyer baru, minta deposit minimal 30% atau L/C dari bank terpercaya.</t>
        </is>
      </c>
      <c r="D13" s="16" t="inlineStr">
        <is>
          <t>Belum</t>
        </is>
      </c>
    </row>
  </sheetData>
  <dataValidations count="1">
    <dataValidation sqref="D4:D13" showDropDown="0" showInputMessage="0" showErrorMessage="0" allowBlank="0" type="list">
      <formula1>"Ya,Belum,Proses"</formula1>
    </dataValidation>
  </dataValidations>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2026-10-15T07:13:04Z</dcterms:created>
  <dcterms:modified xmlns:dcterms="http://purl.org/dc/terms/" xmlns:xsi="http://www.w3.org/2001/XMLSchema-instance" xsi:type="dcterms:W3CDTF">2026-10-15T07:13:04Z</dcterms:modified>
</cp:coreProperties>
</file>